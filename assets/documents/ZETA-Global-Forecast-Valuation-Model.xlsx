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0bf5d22ab4614cc6" /></Relationships>
</file>

<file path=xl/workbook.xml><?xml version="1.0" encoding="utf-8"?>
<x:workbook xmlns:x="http://schemas.openxmlformats.org/spreadsheetml/2006/main">
  <x:sheets>
    <x:sheet xmlns:r="http://schemas.openxmlformats.org/officeDocument/2006/relationships" name="Read Me" sheetId="1" r:id="Ra2705cdf9b54455a"/>
    <x:sheet xmlns:r="http://schemas.openxmlformats.org/officeDocument/2006/relationships" name="Assumptions" sheetId="2" r:id="Rd7dbbb44c3db4ec0"/>
    <x:sheet xmlns:r="http://schemas.openxmlformats.org/officeDocument/2006/relationships" name="Historical" sheetId="3" r:id="R66fcd7b024954cb6"/>
    <x:sheet xmlns:r="http://schemas.openxmlformats.org/officeDocument/2006/relationships" name="KPI Revenue" sheetId="4" r:id="R06063c334e9545f3"/>
    <x:sheet xmlns:r="http://schemas.openxmlformats.org/officeDocument/2006/relationships" name="Normalisation" sheetId="5" r:id="Rdcd0668a0f304f7c"/>
    <x:sheet xmlns:r="http://schemas.openxmlformats.org/officeDocument/2006/relationships" name="Forecast" sheetId="6" r:id="R04891436e0ef43b6"/>
    <x:sheet xmlns:r="http://schemas.openxmlformats.org/officeDocument/2006/relationships" name="Valuation" sheetId="7" r:id="R932088e517944691"/>
    <x:sheet xmlns:r="http://schemas.openxmlformats.org/officeDocument/2006/relationships" name="Scenarios" sheetId="8" r:id="R6bed68b9fd244c7b"/>
    <x:sheet xmlns:r="http://schemas.openxmlformats.org/officeDocument/2006/relationships" name="Checks" sheetId="9" r:id="R149814e2f3f04f5e"/>
    <x:sheet xmlns:r="http://schemas.openxmlformats.org/officeDocument/2006/relationships" name="Sources" sheetId="10" r:id="Rf3f9d4a509964d5b"/>
  </x:sheets>
</x:workbook>
</file>

<file path=xl/comments1.xml><?xml version="1.0" encoding="utf-8"?>
<x:comments xmlns:x="http://schemas.openxmlformats.org/spreadsheetml/2006/main">
  <x:authors>
    <x:author>tc={86AA250E-B4DC-27AE-06B7-F19E6F3ED96E}</x:author>
    <x:author>tc={07314F2A-CD66-A7F0-9D78-DF029D46C438}</x:author>
    <x:author>tc={684AADB1-2D98-8957-A5CD-806B328DA21F}</x:author>
    <x:author>tc={ABB575C1-D30B-635C-7002-4009C0AA53B5}</x:author>
    <x:author>tc={3BED93ED-DEC4-D966-7720-A87D143445D0}</x:author>
    <x:author>tc={5799282D-BDBF-4712-4FC6-E5AAC67E7C76}</x:author>
    <x:author>tc={A2F264D7-74B6-3DE6-E872-1852B4F3B7EA}</x:author>
  </x:authors>
  <x:commentList>
    <x:comment ref="B16" authorId="0">
      <x:text>
        <x:r>
          <x:t>[Threaded comment]
Your version of Excel allows you to read this threaded comment; however, any edits to it will get removed if the file is opened in a newer version of Excel. Learn more: https://go.microsoft.com/fwlink/?linkid=870924
Comment:
    Source: S&amp;P Global Market Intelligence via StockAnalysis.com; 21 Aug 2026 close. https://stockanalysis.com/stocks/zeta/history/</x:t>
        </x:r>
      </x:text>
    </x:comment>
    <x:comment ref="B17" authorId="1">
      <x:text>
        <x:r>
          <x:t>[Threaded comment]
Your version of Excel allows you to read this threaded comment; however, any edits to it will get removed if the file is opened in a newer version of Excel. Learn more: https://go.microsoft.com/fwlink/?linkid=870924
Comment:
    Source: Zeta Q2 2026 Form 10-Q cover page; shares outstanding as of 29 Jul 2026. https://www.sec.gov/Archives/edgar/data/1851003/000119312526333902/zeta-20260630.htm</x:t>
        </x:r>
      </x:text>
    </x:comment>
    <x:comment ref="B18" authorId="2">
      <x:text>
        <x:r>
          <x:t>[Threaded comment]
Your version of Excel allows you to read this threaded comment; however, any edits to it will get removed if the file is opened in a newer version of Excel. Learn more: https://go.microsoft.com/fwlink/?linkid=870924
Comment:
    Source: Zeta Q2 2026 Form 10-Q balance sheet; 30 Jun 2026.</x:t>
        </x:r>
      </x:text>
    </x:comment>
    <x:comment ref="B13" authorId="3">
      <x:text>
        <x:r>
          <x:t>[Threaded comment]
Your version of Excel allows you to read this threaded comment; however, any edits to it will get removed if the file is opened in a newer version of Excel. Learn more: https://go.microsoft.com/fwlink/?linkid=870924
Comment:
    2026E diluted shares are anchored to the 256.582m Q2 2026 diluted weighted-average denominator, versus 220.723m in FY2025. This is a conservative proxy for FY2026 normalised EPS, not company guidance.</x:t>
        </x:r>
      </x:text>
    </x:comment>
    <x:comment ref="B41" authorId="4">
      <x:text>
        <x:r>
          <x:t>[Threaded comment]
Your version of Excel allows you to read this threaded comment; however, any edits to it will get removed if the file is opened in a newer version of Excel. Learn more: https://go.microsoft.com/fwlink/?linkid=870924
Comment:
    Analyst estimate: the 24 Jul 2026 refinancing replaced the roughly $200m prior facility with a $250m term loan. The $50m gross increase is shown only to make standard FCFE mechanically complete; it is financing, not operating performance, and is excluded from the primary SBC-adjusted FCF DCF.</x:t>
        </x:r>
      </x:text>
    </x:comment>
    <x:comment ref="E20" authorId="5">
      <x:text>
        <x:r>
          <x:t>[Threaded comment]
Your version of Excel allows you to read this threaded comment; however, any edits to it will get removed if the file is opened in a newer version of Excel. Learn more: https://go.microsoft.com/fwlink/?linkid=870924
Comment:
    Source: U.S. Treasury daily par yield curve, 21 Aug 2026. https://home.treasury.gov/resource-center/data-chart-center/interest-rates/TextView?field_tdr_date_value=2026&amp;type=daily_treasury_yield_curve</x:t>
        </x:r>
      </x:text>
    </x:comment>
    <x:comment ref="E21" authorId="6">
      <x:text>
        <x:r>
          <x:t>[Threaded comment]
Your version of Excel allows you to read this threaded comment; however, any edits to it will get removed if the file is opened in a newer version of Excel. Learn more: https://go.microsoft.com/fwlink/?linkid=870924
Comment:
    Source: Aswath Damodaran; implied U.S. ERP on 1 Jul 2026. https://pages.stern.nyu.edu/~adamodar/New_Home_Page/home.htm</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numFmts count="13">
    <x:numFmt numFmtId="200" formatCode="0.0%"/>
    <x:numFmt numFmtId="201" formatCode="$0.0"/>
    <x:numFmt numFmtId="202" formatCode="$#,##0.0"/>
    <x:numFmt numFmtId="203" formatCode="0.0"/>
    <x:numFmt numFmtId="204" formatCode="0.00x"/>
    <x:numFmt numFmtId="205" formatCode="$#,##0.0;[Red]($#,##0.0);-"/>
    <x:numFmt numFmtId="206" formatCode="$#,##0.0;($#,##0.0);-"/>
    <x:numFmt numFmtId="207" formatCode="0%"/>
    <x:numFmt numFmtId="208" formatCode="$0.00"/>
    <x:numFmt numFmtId="209" formatCode="0.0x"/>
    <x:numFmt numFmtId="210" formatCode="0"/>
    <x:numFmt numFmtId="211" formatCode="0.000x"/>
    <x:numFmt numFmtId="212" formatCode="yyyy-mm-dd"/>
  </x:numFmts>
  <x:fonts count="10">
    <x:font>
      <x:sz val="11"/>
      <x:name val="Carlito"/>
    </x:font>
    <x:font>
      <x:b/>
      <x:sz val="16"/>
      <x:color rgb="FFFFFFFF"/>
      <x:name val="Carlito"/>
    </x:font>
    <x:font>
      <x:b/>
      <x:sz val="11"/>
      <x:color rgb="FF142B4A"/>
      <x:name val="Carlito"/>
    </x:font>
    <x:font>
      <x:sz val="11"/>
      <x:color rgb="FF111827"/>
      <x:name val="Carlito"/>
    </x:font>
    <x:font>
      <x:i/>
      <x:sz val="11"/>
      <x:color rgb="FF5B6573"/>
      <x:name val="Carlito"/>
    </x:font>
    <x:font>
      <x:sz val="11"/>
      <x:color rgb="FF0000FF"/>
      <x:name val="Carlito"/>
    </x:font>
    <x:font>
      <x:sz val="11"/>
      <x:color rgb="FF008000"/>
      <x:name val="Carlito"/>
    </x:font>
    <x:font>
      <x:sz val="11"/>
      <x:color rgb="FF142B4A"/>
      <x:name val="Carlito"/>
    </x:font>
    <x:font>
      <x:b/>
      <x:sz val="11"/>
      <x:color rgb="FFFFFFFF"/>
      <x:name val="Carlito"/>
    </x:font>
    <x:font>
      <x:b/>
      <x:sz val="11"/>
      <x:color rgb="FF008000"/>
      <x:name val="Carlito"/>
    </x:font>
  </x:fonts>
  <x:fills count="7">
    <x:fill>
      <x:patternFill patternType="none"/>
    </x:fill>
    <x:fill>
      <x:patternFill patternType="gray125"/>
    </x:fill>
    <x:fill>
      <x:patternFill patternType="solid">
        <x:fgColor rgb="FF142B4A"/>
      </x:patternFill>
    </x:fill>
    <x:fill>
      <x:patternFill patternType="solid">
        <x:fgColor rgb="FFD9EAF7"/>
      </x:patternFill>
    </x:fill>
    <x:fill>
      <x:patternFill patternType="solid">
        <x:fgColor rgb="FFF7F8FA"/>
      </x:patternFill>
    </x:fill>
    <x:fill>
      <x:patternFill patternType="solid">
        <x:fgColor rgb="FFFFFBE6"/>
      </x:patternFill>
    </x:fill>
    <x:fill>
      <x:patternFill patternType="solid">
        <x:fgColor rgb="FF1F4E78"/>
      </x:patternFill>
    </x:fill>
  </x:fills>
  <x:borders count="11">
    <x:border/>
    <x:border>
      <x:left style="thin">
        <x:color rgb="FFB8C6D1"/>
      </x:left>
      <x:right style="thin">
        <x:color rgb="FFB8C6D1"/>
      </x:right>
      <x:top style="thin">
        <x:color rgb="FFB8C6D1"/>
      </x:top>
      <x:bottom style="thin">
        <x:color rgb="FFB8C6D1"/>
      </x:bottom>
    </x:border>
    <x:border>
      <x:right style="thin">
        <x:color rgb="FFE1E5EA"/>
      </x:right>
      <x:bottom style="thin">
        <x:color rgb="FFE1E5EA"/>
      </x:bottom>
    </x:border>
    <x:border>
      <x:left style="thin">
        <x:color rgb="FFE1E5EA"/>
      </x:left>
      <x:right style="thin">
        <x:color rgb="FFE1E5EA"/>
      </x:right>
      <x:bottom style="thin">
        <x:color rgb="FFE1E5EA"/>
      </x:bottom>
    </x:border>
    <x:border>
      <x:left style="thin">
        <x:color rgb="FFE1E5EA"/>
      </x:left>
      <x:bottom style="thin">
        <x:color rgb="FFE1E5EA"/>
      </x:bottom>
    </x:border>
    <x:border>
      <x:right style="thin">
        <x:color rgb="FFE1E5EA"/>
      </x:right>
      <x:top style="thin">
        <x:color rgb="FFE1E5EA"/>
      </x:top>
      <x:bottom style="thin">
        <x:color rgb="FFE1E5EA"/>
      </x:bottom>
    </x:border>
    <x:border>
      <x:left style="thin">
        <x:color rgb="FFE1E5EA"/>
      </x:left>
      <x:right style="thin">
        <x:color rgb="FFE1E5EA"/>
      </x:right>
      <x:top style="thin">
        <x:color rgb="FFE1E5EA"/>
      </x:top>
      <x:bottom style="thin">
        <x:color rgb="FFE1E5EA"/>
      </x:bottom>
    </x:border>
    <x:border>
      <x:left style="thin">
        <x:color rgb="FFE1E5EA"/>
      </x:left>
      <x:top style="thin">
        <x:color rgb="FFE1E5EA"/>
      </x:top>
      <x:bottom style="thin">
        <x:color rgb="FFE1E5EA"/>
      </x:bottom>
    </x:border>
    <x:border>
      <x:right style="thin">
        <x:color rgb="FFE1E5EA"/>
      </x:right>
      <x:top style="thin">
        <x:color rgb="FFE1E5EA"/>
      </x:top>
    </x:border>
    <x:border>
      <x:left style="thin">
        <x:color rgb="FFE1E5EA"/>
      </x:left>
      <x:right style="thin">
        <x:color rgb="FFE1E5EA"/>
      </x:right>
      <x:top style="thin">
        <x:color rgb="FFE1E5EA"/>
      </x:top>
    </x:border>
    <x:border>
      <x:left style="thin">
        <x:color rgb="FFE1E5EA"/>
      </x:left>
      <x:top style="thin">
        <x:color rgb="FFE1E5EA"/>
      </x:top>
    </x:border>
  </x:borders>
  <x:cellStyleXfs count="1">
    <x:xf numFmtId="0" fontId="0" fillId="0" borderId="0"/>
  </x:cellStyleXfs>
  <x:cellXfs count="106">
    <x:xf numFmtId="0" fontId="0" fillId="0" borderId="0" xfId="0"/>
    <x:xf numFmtId="0" fontId="0" fillId="2" borderId="0" xfId="0" applyNumberFormat="1" applyFont="1" applyFill="1" applyBorder="1"/>
    <x:xf numFmtId="0" fontId="1" fillId="2" borderId="0" xfId="0" applyNumberFormat="1" applyFont="1" applyFill="1" applyBorder="1"/>
    <x:xf numFmtId="0" fontId="0" fillId="3" borderId="0" xfId="0" applyNumberFormat="1" applyFont="1" applyFill="1" applyBorder="1"/>
    <x:xf numFmtId="0" fontId="2" fillId="3" borderId="0" xfId="0" applyNumberFormat="1" applyFont="1" applyFill="1" applyBorder="1"/>
    <x:xf numFmtId="0" fontId="2" fillId="3" borderId="1" xfId="0" applyNumberFormat="1" applyFont="1" applyFill="1" applyBorder="1"/>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4" fillId="4" borderId="0" xfId="0" applyNumberFormat="1" applyFont="1" applyFill="1" applyBorder="1"/>
    <x:xf numFmtId="0" fontId="4" fillId="4" borderId="0" xfId="0" applyNumberFormat="1" applyFont="1" applyFill="1" applyBorder="1" applyAlignment="1">
      <x:alignment wrapText="1"/>
    </x:xf>
    <x:xf numFmtId="0" fontId="0" fillId="5" borderId="0" xfId="0" applyNumberFormat="1" applyFont="1" applyFill="1" applyBorder="1"/>
    <x:xf numFmtId="0" fontId="5" fillId="5" borderId="0" xfId="0" applyNumberFormat="1" applyFont="1" applyFill="1" applyBorder="1"/>
    <x:xf numFmtId="200" fontId="5" fillId="5" borderId="0" xfId="0" applyNumberFormat="1" applyFont="1" applyFill="1" applyBorder="1"/>
    <x:xf numFmtId="201" fontId="5" fillId="5" borderId="0" xfId="0" applyNumberFormat="1" applyFont="1" applyFill="1" applyBorder="1"/>
    <x:xf numFmtId="202" fontId="5" fillId="5" borderId="0" xfId="0" applyNumberFormat="1" applyFont="1" applyFill="1" applyBorder="1"/>
    <x:xf numFmtId="203" fontId="5" fillId="5" borderId="0" xfId="0" applyNumberFormat="1" applyFont="1" applyFill="1" applyBorder="1"/>
    <x:xf numFmtId="200" fontId="3" fillId="5" borderId="0" xfId="0" applyNumberFormat="1" applyFont="1" applyFill="1" applyBorder="1"/>
    <x:xf numFmtId="204" fontId="3" fillId="5" borderId="0" xfId="0" applyNumberFormat="1" applyFont="1" applyFill="1" applyBorder="1"/>
    <x:xf numFmtId="205" fontId="5" fillId="5" borderId="0" xfId="0" applyNumberFormat="1" applyFont="1" applyFill="1" applyBorder="1"/>
    <x:xf numFmtId="0" fontId="3" fillId="0" borderId="0" xfId="0" applyNumberFormat="1" applyFont="1" applyFill="1" applyBorder="1"/>
    <x:xf numFmtId="0" fontId="6" fillId="0" borderId="0" xfId="0" applyNumberFormat="1" applyFont="1" applyFill="1" applyBorder="1"/>
    <x:xf numFmtId="206" fontId="0" fillId="0" borderId="0" xfId="0" applyNumberFormat="1" applyFont="1" applyFill="1" applyBorder="1"/>
    <x:xf numFmtId="206" fontId="6" fillId="0" borderId="0" xfId="0" applyNumberFormat="1" applyFont="1" applyFill="1" applyBorder="1"/>
    <x:xf numFmtId="206" fontId="3" fillId="0" borderId="0" xfId="0" applyNumberFormat="1" applyFont="1" applyFill="1" applyBorder="1"/>
    <x:xf numFmtId="200" fontId="3" fillId="0" borderId="0" xfId="0" applyNumberFormat="1" applyFont="1" applyFill="1" applyBorder="1"/>
    <x:xf numFmtId="200" fontId="6" fillId="0" borderId="0" xfId="0" applyNumberFormat="1" applyFont="1" applyFill="1" applyBorder="1"/>
    <x:xf numFmtId="200" fontId="0" fillId="0" borderId="0" xfId="0" applyNumberFormat="1" applyFont="1" applyFill="1" applyBorder="1"/>
    <x:xf numFmtId="203" fontId="0" fillId="0" borderId="0" xfId="0" applyNumberFormat="1" applyFont="1" applyFill="1" applyBorder="1"/>
    <x:xf numFmtId="203" fontId="6" fillId="0" borderId="0" xfId="0" applyNumberFormat="1" applyFont="1" applyFill="1" applyBorder="1"/>
    <x:xf numFmtId="0" fontId="7" fillId="0" borderId="0" xfId="0" applyNumberFormat="1" applyFont="1" applyFill="1" applyBorder="1"/>
    <x:xf numFmtId="0" fontId="0" fillId="6" borderId="0" xfId="0" applyNumberFormat="1" applyFont="1" applyFill="1" applyBorder="1"/>
    <x:xf numFmtId="0" fontId="8" fillId="6" borderId="0" xfId="0" applyNumberFormat="1" applyFont="1" applyFill="1" applyBorder="1"/>
    <x:xf numFmtId="207" fontId="5" fillId="5" borderId="0" xfId="0" applyNumberFormat="1" applyFont="1" applyFill="1" applyBorder="1"/>
    <x:xf numFmtId="207" fontId="0" fillId="0" borderId="0" xfId="0" applyNumberFormat="1" applyFont="1" applyFill="1" applyBorder="1"/>
    <x:xf numFmtId="0" fontId="3" fillId="5" borderId="0" xfId="0" applyNumberFormat="1" applyFont="1" applyFill="1" applyBorder="1"/>
    <x:xf numFmtId="208" fontId="6" fillId="0" borderId="0" xfId="0" applyNumberFormat="1" applyFont="1" applyFill="1" applyBorder="1"/>
    <x:xf numFmtId="202" fontId="6" fillId="0" borderId="0" xfId="0" applyNumberFormat="1" applyFont="1" applyFill="1" applyBorder="1"/>
    <x:xf numFmtId="209" fontId="6" fillId="0" borderId="0" xfId="0" applyNumberFormat="1" applyFont="1" applyFill="1" applyBorder="1"/>
    <x:xf numFmtId="210" fontId="6" fillId="0" borderId="0" xfId="0" applyNumberFormat="1" applyFont="1" applyFill="1" applyBorder="1"/>
    <x:xf numFmtId="211" fontId="6" fillId="0" borderId="0" xfId="0" applyNumberFormat="1" applyFont="1" applyFill="1" applyBorder="1"/>
    <x:xf numFmtId="202" fontId="3" fillId="0" borderId="0" xfId="0" applyNumberFormat="1" applyFont="1" applyFill="1" applyBorder="1"/>
    <x:xf numFmtId="0" fontId="3" fillId="0" borderId="0" xfId="0" applyNumberFormat="1" applyFont="1" applyFill="1" applyBorder="1" applyAlignment="1">
      <x:alignment wrapText="1"/>
    </x:xf>
    <x:xf numFmtId="209" fontId="3" fillId="0" borderId="0" xfId="0" applyNumberFormat="1" applyFont="1" applyFill="1" applyBorder="1"/>
    <x:xf numFmtId="208" fontId="0" fillId="0" borderId="0" xfId="0" applyNumberFormat="1" applyFont="1" applyFill="1" applyBorder="1"/>
    <x:xf numFmtId="0" fontId="9" fillId="3" borderId="1" xfId="0" applyNumberFormat="1" applyFont="1" applyFill="1" applyBorder="1"/>
    <x:xf numFmtId="205" fontId="6" fillId="0" borderId="0" xfId="0" applyNumberFormat="1" applyFont="1" applyFill="1" applyBorder="1"/>
    <x:xf numFmtId="208" fontId="9" fillId="3" borderId="1" xfId="0" applyNumberFormat="1" applyFont="1" applyFill="1" applyBorder="1"/>
    <x:xf numFmtId="0" fontId="0" fillId="0" borderId="0" xfId="0" applyNumberFormat="1" applyFont="1" applyFill="1" applyBorder="1" applyAlignment="1">
      <x:alignment wrapText="1"/>
    </x:xf>
    <x:xf numFmtId="212" fontId="0" fillId="0" borderId="0" xfId="0" applyNumberFormat="1" applyFont="1" applyFill="1" applyBorder="1" applyAlignment="1">
      <x:alignment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5" xfId="0" applyNumberFormat="1" applyFont="1" applyFill="1" applyBorder="1"/>
    <x:xf numFmtId="0" fontId="1" fillId="2" borderId="6" xfId="0" applyNumberFormat="1" applyFont="1" applyFill="1" applyBorder="1"/>
    <x:xf numFmtId="0" fontId="1" fillId="2" borderId="7"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2" fillId="3" borderId="5" xfId="0" applyNumberFormat="1" applyFont="1" applyFill="1" applyBorder="1"/>
    <x:xf numFmtId="0" fontId="2" fillId="3" borderId="6" xfId="0" applyNumberFormat="1" applyFont="1" applyFill="1" applyBorder="1"/>
    <x:xf numFmtId="0" fontId="2" fillId="3" borderId="7" xfId="0" applyNumberFormat="1" applyFont="1" applyFill="1" applyBorder="1"/>
    <x:xf numFmtId="0" fontId="7" fillId="0" borderId="5" xfId="0" applyNumberFormat="1" applyFont="1" applyFill="1" applyBorder="1"/>
    <x:xf numFmtId="206" fontId="0" fillId="0" borderId="6" xfId="0" applyNumberFormat="1" applyFont="1" applyFill="1" applyBorder="1"/>
    <x:xf numFmtId="206" fontId="6" fillId="0" borderId="7" xfId="0" applyNumberFormat="1" applyFont="1" applyFill="1" applyBorder="1"/>
    <x:xf numFmtId="200" fontId="3" fillId="0" borderId="6" xfId="0" applyNumberFormat="1" applyFont="1" applyFill="1" applyBorder="1"/>
    <x:xf numFmtId="200" fontId="6" fillId="0" borderId="7" xfId="0" applyNumberFormat="1" applyFont="1" applyFill="1" applyBorder="1"/>
    <x:xf numFmtId="200" fontId="0" fillId="0" borderId="6" xfId="0" applyNumberFormat="1" applyFont="1" applyFill="1" applyBorder="1"/>
    <x:xf numFmtId="203" fontId="0" fillId="0" borderId="6" xfId="0" applyNumberFormat="1" applyFont="1" applyFill="1" applyBorder="1"/>
    <x:xf numFmtId="203" fontId="6" fillId="0" borderId="7" xfId="0" applyNumberFormat="1" applyFont="1" applyFill="1" applyBorder="1"/>
    <x:xf numFmtId="0" fontId="4" fillId="4" borderId="5" xfId="0" applyNumberFormat="1" applyFont="1" applyFill="1" applyBorder="1" applyAlignment="1">
      <x:alignment wrapText="1"/>
    </x:xf>
    <x:xf numFmtId="0" fontId="4" fillId="4" borderId="6" xfId="0" applyNumberFormat="1" applyFont="1" applyFill="1" applyBorder="1" applyAlignment="1">
      <x:alignment wrapText="1"/>
    </x:xf>
    <x:xf numFmtId="0" fontId="4" fillId="4" borderId="7" xfId="0" applyNumberFormat="1" applyFont="1" applyFill="1" applyBorder="1" applyAlignment="1">
      <x:alignment wrapText="1"/>
    </x:xf>
    <x:xf numFmtId="0" fontId="4" fillId="4" borderId="8" xfId="0" applyNumberFormat="1" applyFont="1" applyFill="1" applyBorder="1" applyAlignment="1">
      <x:alignment wrapText="1"/>
    </x:xf>
    <x:xf numFmtId="0" fontId="4" fillId="4" borderId="9" xfId="0" applyNumberFormat="1" applyFont="1" applyFill="1" applyBorder="1" applyAlignment="1">
      <x:alignment wrapText="1"/>
    </x:xf>
    <x:xf numFmtId="0" fontId="4" fillId="4" borderId="10" xfId="0" applyNumberFormat="1" applyFont="1" applyFill="1" applyBorder="1" applyAlignment="1">
      <x:alignment wrapText="1"/>
    </x:xf>
    <x:xf numFmtId="0" fontId="6" fillId="0" borderId="6" xfId="0" applyNumberFormat="1" applyFont="1" applyFill="1" applyBorder="1"/>
    <x:xf numFmtId="0" fontId="6" fillId="0" borderId="7" xfId="0" applyNumberFormat="1" applyFont="1" applyFill="1" applyBorder="1"/>
    <x:xf numFmtId="200" fontId="6" fillId="0" borderId="6" xfId="0" applyNumberFormat="1" applyFont="1" applyFill="1" applyBorder="1"/>
    <x:xf numFmtId="208" fontId="6" fillId="0" borderId="6" xfId="0" applyNumberFormat="1" applyFont="1" applyFill="1" applyBorder="1"/>
    <x:xf numFmtId="208" fontId="6" fillId="0" borderId="7" xfId="0" applyNumberFormat="1" applyFont="1" applyFill="1" applyBorder="1"/>
    <x:xf numFmtId="203" fontId="6" fillId="0" borderId="6" xfId="0" applyNumberFormat="1" applyFont="1" applyFill="1" applyBorder="1"/>
    <x:xf numFmtId="0" fontId="0" fillId="0" borderId="3" xfId="0" applyNumberFormat="1" applyFont="1" applyFill="1" applyBorder="1"/>
    <x:xf numFmtId="0" fontId="0" fillId="0" borderId="4" xfId="0" applyNumberFormat="1" applyFont="1" applyFill="1" applyBorder="1"/>
    <x:xf numFmtId="206" fontId="6" fillId="0" borderId="6" xfId="0" applyNumberFormat="1" applyFont="1" applyFill="1" applyBorder="1"/>
    <x:xf numFmtId="200" fontId="0" fillId="0" borderId="7"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8" fillId="6" borderId="5" xfId="0" applyNumberFormat="1" applyFont="1" applyFill="1" applyBorder="1"/>
    <x:xf numFmtId="0" fontId="8" fillId="6" borderId="6" xfId="0" applyNumberFormat="1" applyFont="1" applyFill="1" applyBorder="1"/>
    <x:xf numFmtId="202" fontId="6" fillId="0" borderId="6" xfId="0" applyNumberFormat="1" applyFont="1" applyFill="1" applyBorder="1"/>
    <x:xf numFmtId="209" fontId="6" fillId="0" borderId="6" xfId="0" applyNumberFormat="1" applyFont="1" applyFill="1" applyBorder="1"/>
    <x:xf numFmtId="210" fontId="6" fillId="0" borderId="6" xfId="0" applyNumberFormat="1" applyFont="1" applyFill="1" applyBorder="1"/>
    <x:xf numFmtId="211" fontId="6" fillId="0" borderId="6" xfId="0" applyNumberFormat="1" applyFont="1" applyFill="1" applyBorder="1"/>
    <x:xf numFmtId="202" fontId="3" fillId="0" borderId="6" xfId="0" applyNumberFormat="1" applyFont="1" applyFill="1" applyBorder="1"/>
    <x:xf numFmtId="0" fontId="3" fillId="0" borderId="6" xfId="0" applyNumberFormat="1" applyFont="1" applyFill="1" applyBorder="1" applyAlignment="1">
      <x:alignment wrapText="1"/>
    </x:xf>
    <x:xf numFmtId="0" fontId="3" fillId="0" borderId="6" xfId="0" applyNumberFormat="1" applyFont="1" applyFill="1" applyBorder="1"/>
    <x:xf numFmtId="0" fontId="3" fillId="0" borderId="7" xfId="0" applyNumberFormat="1" applyFont="1" applyFill="1" applyBorder="1"/>
    <x:xf numFmtId="209" fontId="3" fillId="0" borderId="6" xfId="0" applyNumberFormat="1" applyFont="1" applyFill="1" applyBorder="1"/>
    <x:xf numFmtId="208" fontId="0" fillId="0" borderId="6" xfId="0" applyNumberFormat="1" applyFont="1" applyFill="1" applyBorder="1"/>
    <x:xf numFmtId="0" fontId="0" fillId="0" borderId="8" xfId="0" applyNumberFormat="1" applyFont="1" applyFill="1" applyBorder="1"/>
    <x:xf numFmtId="200" fontId="0" fillId="0" borderId="9" xfId="0" applyNumberFormat="1" applyFont="1" applyFill="1" applyBorder="1"/>
    <x:xf numFmtId="205" fontId="6" fillId="0" borderId="6" xfId="0" applyNumberFormat="1" applyFont="1" applyFill="1" applyBorder="1"/>
    <x:xf numFmtId="0" fontId="9" fillId="3" borderId="6" xfId="0" applyNumberFormat="1" applyFont="1" applyFill="1" applyBorder="1"/>
    <x:xf numFmtId="208" fontId="9" fillId="3" borderId="7" xfId="0" applyNumberFormat="1" applyFont="1" applyFill="1" applyBorder="1"/>
    <x:xf numFmtId="0" fontId="6" fillId="0" borderId="9" xfId="0" applyNumberFormat="1" applyFont="1" applyFill="1" applyBorder="1"/>
  </x:cellXfs>
  <x:cellStyles count="1">
    <x:cellStyle name="Normal" xfId="0"/>
  </x:cellStyles>
  <x:dxfs count="4">
    <x:dxf>
      <x:font>
        <x:b/>
        <x:color rgb="FFC00000"/>
      </x:font>
      <x:fill>
        <x:patternFill patternType="solid">
          <x:bgColor rgb="FFFDE9E7"/>
        </x:patternFill>
      </x:fill>
    </x:dxf>
    <x:dxf>
      <x:font>
        <x:b/>
        <x:color rgb="FFC00000"/>
      </x:font>
      <x:fill>
        <x:patternFill patternType="solid">
          <x:bgColor rgb="FFF4CCCC"/>
        </x:patternFill>
      </x:fill>
    </x:dxf>
    <x:dxf>
      <x:font>
        <x:b/>
        <x:color rgb="FF38761D"/>
      </x:font>
      <x:fill>
        <x:patternFill patternType="solid">
          <x:bgColor rgb="FFD9EAD3"/>
        </x:patternFill>
      </x:fill>
    </x:dxf>
    <x:dxf>
      <x:font>
        <x:b/>
        <x:color rgb="FF7F6000"/>
      </x:font>
      <x:fill>
        <x:patternFill patternType="solid">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0a3ad41a94f4710" /><Relationship Type="http://schemas.openxmlformats.org/officeDocument/2006/relationships/theme" Target="/xl/theme/theme1.xml" Id="Rc8cf9f52ec1844a7" /><Relationship Type="http://schemas.openxmlformats.org/officeDocument/2006/relationships/sharedStrings" Target="/xl/sharedStrings.xml" Id="R6c3972f80aab4e4f" /><Relationship Type="http://schemas.openxmlformats.org/officeDocument/2006/relationships/worksheet" Target="/xl/worksheets/sheet1.xml" Id="Ra2705cdf9b54455a" /><Relationship Type="http://schemas.openxmlformats.org/officeDocument/2006/relationships/worksheet" Target="/xl/worksheets/sheet2.xml" Id="Rd7dbbb44c3db4ec0" /><Relationship Type="http://schemas.openxmlformats.org/officeDocument/2006/relationships/worksheet" Target="/xl/worksheets/sheet3.xml" Id="R66fcd7b024954cb6" /><Relationship Type="http://schemas.openxmlformats.org/officeDocument/2006/relationships/worksheet" Target="/xl/worksheets/sheet4.xml" Id="R06063c334e9545f3" /><Relationship Type="http://schemas.openxmlformats.org/officeDocument/2006/relationships/worksheet" Target="/xl/worksheets/sheet5.xml" Id="Rdcd0668a0f304f7c" /><Relationship Type="http://schemas.openxmlformats.org/officeDocument/2006/relationships/worksheet" Target="/xl/worksheets/sheet6.xml" Id="R04891436e0ef43b6" /><Relationship Type="http://schemas.openxmlformats.org/officeDocument/2006/relationships/worksheet" Target="/xl/worksheets/sheet7.xml" Id="R932088e517944691" /><Relationship Type="http://schemas.openxmlformats.org/officeDocument/2006/relationships/worksheet" Target="/xl/worksheets/sheet8.xml" Id="R6bed68b9fd244c7b" /><Relationship Type="http://schemas.openxmlformats.org/officeDocument/2006/relationships/worksheet" Target="/xl/worksheets/sheet9.xml" Id="R149814e2f3f04f5e" /><Relationship Type="http://schemas.openxmlformats.org/officeDocument/2006/relationships/worksheet" Target="/xl/worksheets/sheet10.xml" Id="Rf3f9d4a509964d5b" /><Relationship Type="http://schemas.microsoft.com/office/2017/10/relationships/person" Target="/xl/persons/person.xml" Id="R1d3d419722ab4290" /></Relationships>
</file>

<file path=xl/drawings/_rels/drawing1.xml.rels>&#65279;<?xml version="1.0" encoding="utf-8"?><Relationships xmlns="http://schemas.openxmlformats.org/package/2006/relationships"><Relationship Type="http://schemas.openxmlformats.org/officeDocument/2006/relationships/chart" Target="/xl/drawings/charts/chart1.xml" Id="R6946f5a6a5c54627"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FCF margin progression</a:t>
            </a:r>
          </a:p>
        </c:rich>
      </c:tx>
      <c:overlay val="0"/>
    </c:title>
    <c:plotArea>
      <c:lineChart>
        <c:grouping val="standard"/>
        <c:varyColors val="0"/>
        <c:ser>
          <c:idx val="0"/>
          <c:order val="0"/>
          <c:tx>
            <c:v>Company FCF margin</c:v>
          </c:tx>
          <c:marker>
            <c:symbol val="none"/>
          </c:marker>
          <c:cat>
            <c:strRef>
              <c:f>'Forecast'!$N$5:$N$14</c:f>
              <c:strCache>
                <c:ptCount val="0"/>
              </c:strCache>
            </c:strRef>
          </c:cat>
          <c:val>
            <c:numRef>
              <c:f>'Forecast'!$O$5:$O$14</c:f>
              <c:numCache>
                <c:formatCode>0.0%</c:formatCode>
                <c:ptCount val="0"/>
              </c:numCache>
            </c:numRef>
          </c:val>
          <c:smooth val="0"/>
        </c:ser>
        <c:ser>
          <c:idx val="1"/>
          <c:order val="1"/>
          <c:tx>
            <c:v>SBC-adjusted FCF margin</c:v>
          </c:tx>
          <c:marker>
            <c:symbol val="none"/>
          </c:marker>
          <c:cat>
            <c:strRef>
              <c:f>'Forecast'!$N$5:$N$14</c:f>
              <c:strCache>
                <c:ptCount val="0"/>
              </c:strCache>
            </c:strRef>
          </c:cat>
          <c:val>
            <c:numRef>
              <c:f>'Forecast'!$P$5:$P$14</c:f>
              <c:numCache>
                <c:formatCode>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15</xdr:row>
      <xdr:rowOff>0</xdr:rowOff>
    </xdr:from>
    <xdr:to>
      <xdr:col>22</xdr:col>
      <xdr:colOff>0</xdr:colOff>
      <xdr:row>34</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6946f5a6a5c54627"/>
        </a:graphicData>
      </a:graphic>
    </xdr:graphicFrame>
    <xdr:clientData/>
  </xdr:twoCellAnchor>
</xdr:wsDr>
</file>

<file path=xl/persons/person.xml><?xml version="1.0" encoding="utf-8"?>
<xltc:personList xmlns:xltc="http://schemas.microsoft.com/office/spreadsheetml/2018/threadedcomments">
  <xltc:person displayName="JFZang Equity Research" id="{D7602559-9C71-462F-BEBF-2779BA34D852}"/>
</xltc:personList>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threadedcomments/threadedcomment.xml><?xml version="1.0" encoding="utf-8"?>
<xltc:ThreadedComments xmlns:xltc="http://schemas.microsoft.com/office/spreadsheetml/2018/threadedcomments">
  <xltc:threadedComment ref="B16" dT="2026-08-22T13:37:31.376" personId="{D7602559-9C71-462F-BEBF-2779BA34D852}" id="{86AA250E-B4DC-27AE-06B7-F19E6F3ED96E}">
    <xltc:text>Source: S&amp;P Global Market Intelligence via StockAnalysis.com; 21 Aug 2026 close. https://stockanalysis.com/stocks/zeta/history/</xltc:text>
  </xltc:threadedComment>
  <xltc:threadedComment ref="B17" dT="2026-08-22T13:37:31.376" personId="{D7602559-9C71-462F-BEBF-2779BA34D852}" id="{07314F2A-CD66-A7F0-9D78-DF029D46C438}">
    <xltc:text>Source: Zeta Q2 2026 Form 10-Q cover page; shares outstanding as of 29 Jul 2026. https://www.sec.gov/Archives/edgar/data/1851003/000119312526333902/zeta-20260630.htm</xltc:text>
  </xltc:threadedComment>
  <xltc:threadedComment ref="B18" dT="2026-08-22T13:37:31.376" personId="{D7602559-9C71-462F-BEBF-2779BA34D852}" id="{684AADB1-2D98-8957-A5CD-806B328DA21F}">
    <xltc:text>Source: Zeta Q2 2026 Form 10-Q balance sheet; 30 Jun 2026.</xltc:text>
  </xltc:threadedComment>
  <xltc:threadedComment ref="B13" dT="2026-08-22T13:37:31.376" personId="{D7602559-9C71-462F-BEBF-2779BA34D852}" id="{ABB575C1-D30B-635C-7002-4009C0AA53B5}">
    <xltc:text>2026E diluted shares are anchored to the 256.582m Q2 2026 diluted weighted-average denominator, versus 220.723m in FY2025. This is a conservative proxy for FY2026 normalised EPS, not company guidance.</xltc:text>
  </xltc:threadedComment>
  <xltc:threadedComment ref="B41" dT="2026-08-22T13:37:31.376" personId="{D7602559-9C71-462F-BEBF-2779BA34D852}" id="{3BED93ED-DEC4-D966-7720-A87D143445D0}">
    <xltc:text>Analyst estimate: the 24 Jul 2026 refinancing replaced the roughly $200m prior facility with a $250m term loan. The $50m gross increase is shown only to make standard FCFE mechanically complete; it is financing, not operating performance, and is excluded from the primary SBC-adjusted FCF DCF.</xltc:text>
  </xltc:threadedComment>
  <xltc:threadedComment ref="E20" dT="2026-08-22T13:37:31.376" personId="{D7602559-9C71-462F-BEBF-2779BA34D852}" id="{5799282D-BDBF-4712-4FC6-E5AAC67E7C76}">
    <xltc:text>Source: U.S. Treasury daily par yield curve, 21 Aug 2026. https://home.treasury.gov/resource-center/data-chart-center/interest-rates/TextView?field_tdr_date_value=2026&amp;type=daily_treasury_yield_curve</xltc:text>
  </xltc:threadedComment>
  <xltc:threadedComment ref="E21" dT="2026-08-22T13:37:31.376" personId="{D7602559-9C71-462F-BEBF-2779BA34D852}" id="{A2F264D7-74B6-3DE6-E872-1852B4F3B7EA}">
    <xltc:text>Source: Aswath Damodaran; implied U.S. ERP on 1 Jul 2026. https://pages.stern.nyu.edu/~adamodar/New_Home_Page/home.htm</xltc:text>
  </xltc:threadedComment>
</xltc:ThreadedComments>
</file>

<file path=xl/worksheets/_rels/sheet2.xml.rels>&#65279;<?xml version="1.0" encoding="utf-8"?><Relationships xmlns="http://schemas.openxmlformats.org/package/2006/relationships"><Relationship Type="http://schemas.openxmlformats.org/officeDocument/2006/relationships/comments" Target="/xl/comments1.xml" Id="R56ded6b6852b4e0d" /><Relationship Type="http://schemas.openxmlformats.org/officeDocument/2006/relationships/vmlDrawing" Target="/xl/drawings/vmldrawing.vml" Id="Rb2920db94f194fef" /><Relationship Type="http://schemas.microsoft.com/office/2017/10/relationships/threadedComment" Target="/xl/threadedcomments/threadedcomment.xml" Id="Rfc8f518bf6d04d9d" /></Relationships>
</file>

<file path=xl/worksheets/_rels/sheet6.xml.rels>&#65279;<?xml version="1.0" encoding="utf-8"?><Relationships xmlns="http://schemas.openxmlformats.org/package/2006/relationships"><Relationship Type="http://schemas.openxmlformats.org/officeDocument/2006/relationships/drawing" Target="/xl/drawings/drawing1.xml" Id="Ra3afc5612d094c44" /></Relationships>
</file>

<file path=xl/worksheets/sheet1.xml><?xml version="1.0" encoding="utf-8"?>
<x:worksheet xmlns:x="http://schemas.openxmlformats.org/spreadsheetml/2006/main">
  <x:sheetViews>
    <x:sheetView showGridLines="0" workbookViewId="0"/>
  </x:sheetViews>
  <x:sheetFormatPr defaultRowHeight="15"/>
  <x:cols>
    <x:col min="1" max="1" width="22" hidden="0" customWidth="1"/>
    <x:col min="2" max="2" width="90"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s>
  <x:sheetData>
    <x:row r="1" ht="28" customHeight="1">
      <x:c r="A1" s="2" t="str">
        <x:v>ZETA Global — Analyst-Normalised Forecast &amp; Valuation Model</x:v>
      </x:c>
      <x:c r="B1" s="2" t="str">
        <x:v>ZETA Global — Analyst-Normalised Forecast &amp; Valuation Model</x:v>
      </x:c>
      <x:c r="C1" s="2" t="str">
        <x:v>ZETA Global — Analyst-Normalised Forecast &amp; Valuation Model</x:v>
      </x:c>
      <x:c r="D1" s="2" t="str">
        <x:v>ZETA Global — Analyst-Normalised Forecast &amp; Valuation Model</x:v>
      </x:c>
      <x:c r="E1" s="2" t="str">
        <x:v>ZETA Global — Analyst-Normalised Forecast &amp; Valuation Model</x:v>
      </x:c>
      <x:c r="F1" s="2" t="str">
        <x:v>ZETA Global — Analyst-Normalised Forecast &amp; Valuation Model</x:v>
      </x:c>
      <x:c r="G1" s="2" t="str">
        <x:v>ZETA Global — Analyst-Normalised Forecast &amp; Valuation Model</x:v>
      </x:c>
      <x:c r="H1" s="2" t="str">
        <x:v>ZETA Global — Analyst-Normalised Forecast &amp; Valuation Model</x:v>
      </x:c>
    </x:row>
    <x:row r="2" ht="28" customHeight="1">
      <x:c r="A2" s="2" t="str">
        <x:v>ZETA Global — Analyst-Normalised Forecast &amp; Valuation Model</x:v>
      </x:c>
      <x:c r="B2" s="2" t="str">
        <x:v>ZETA Global — Analyst-Normalised Forecast &amp; Valuation Model</x:v>
      </x:c>
      <x:c r="C2" s="2" t="str">
        <x:v>ZETA Global — Analyst-Normalised Forecast &amp; Valuation Model</x:v>
      </x:c>
      <x:c r="D2" s="2" t="str">
        <x:v>ZETA Global — Analyst-Normalised Forecast &amp; Valuation Model</x:v>
      </x:c>
      <x:c r="E2" s="2" t="str">
        <x:v>ZETA Global — Analyst-Normalised Forecast &amp; Valuation Model</x:v>
      </x:c>
      <x:c r="F2" s="2" t="str">
        <x:v>ZETA Global — Analyst-Normalised Forecast &amp; Valuation Model</x:v>
      </x:c>
      <x:c r="G2" s="2" t="str">
        <x:v>ZETA Global — Analyst-Normalised Forecast &amp; Valuation Model</x:v>
      </x:c>
      <x:c r="H2" s="2" t="str">
        <x:v>ZETA Global — Analyst-Normalised Forecast &amp; Valuation Model</x:v>
      </x:c>
    </x:row>
    <x:row r="4">
      <x:c r="A4" s="5" t="str">
        <x:v>Purpose</x:v>
      </x:c>
      <x:c r="B4" s="8" t="str">
        <x:v>Auditable equity-research model supporting the ZETA stock thesis and marketing-data-platform industry report.</x:v>
      </x:c>
    </x:row>
    <x:row r="5">
      <x:c r="A5" s="5" t="str">
        <x:v>Reporting base</x:v>
      </x:c>
      <x:c r="B5" s="8" t="str">
        <x:v>U.S. GAAP as filed; analyst-normalised economics are shown separately and are not represented as IFRS financial statements.</x:v>
      </x:c>
    </x:row>
    <x:row r="6">
      <x:c r="A6" s="5" t="str">
        <x:v>Core valuation</x:v>
      </x:c>
      <x:c r="B6" s="8" t="str">
        <x:v>Primary equity DCF on SBC-adjusted FCF, cross-checked against standard FCFE per fully diluted share and relative valuation diagnostics.</x:v>
      </x:c>
    </x:row>
    <x:row r="7">
      <x:c r="A7" s="5" t="str">
        <x:v>SBC treatment</x:v>
      </x:c>
      <x:c r="B7" s="8" t="str">
        <x:v>SBC is treated as an economic operating cost in the primary DCF. Current shares are used there; the separate dilution-only cross-check uses standard FCFE and forecast diluted shares without deducting SBC again.</x:v>
      </x:c>
    </x:row>
    <x:row r="8">
      <x:c r="A8" s="5" t="str">
        <x:v>Revenue quality</x:v>
      </x:c>
      <x:c r="B8" s="8" t="str">
        <x:v>Reported revenue is bridged to ex-M&amp;A/political revenue and gross profit. Gross profit is prioritised where media/pass-through economics distort revenue comparability.</x:v>
      </x:c>
    </x:row>
    <x:row r="9">
      <x:c r="A9" s="5" t="str">
        <x:v>Acquisitions</x:v>
      </x:c>
      <x:c r="B9" s="8" t="str">
        <x:v>Purchase consideration, acquisition liabilities, recurring transaction cost and acquisition-funded share issuance are separately disclosed.</x:v>
      </x:c>
    </x:row>
    <x:row r="10">
      <x:c r="A10" s="5" t="str">
        <x:v>Valuation date</x:v>
      </x:c>
      <x:c r="B10" s="8" t="str">
        <x:v>21 August 2026 market close.</x:v>
      </x:c>
    </x:row>
    <x:row r="11">
      <x:c r="A11" s="5" t="str">
        <x:v>Status</x:v>
      </x:c>
      <x:c r="B11" s="8" t="str">
        <x:v>Pre-thesis neutral model. Scenario assumptions are editable blue-font inputs; conclusion remains subject to industry and evidence review.</x:v>
      </x:c>
    </x:row>
    <x:row r="13">
      <x:c r="A13" s="10" t="str">
        <x:v>Colour convention: blue font = analyst input; green font = formula linked from another worksheet; black font = same-sheet formula; red fill/text = failed check or warning. All monetary values are USD millions unless stated otherwise.</x:v>
      </x:c>
      <x:c r="B13" s="10" t="str">
        <x:v>Colour convention: blue font = analyst input; green font = formula linked from another worksheet; black font = same-sheet formula; red fill/text = failed check or warning. All monetary values are USD millions unless stated otherwise.</x:v>
      </x:c>
      <x:c r="C13" s="10" t="str">
        <x:v>Colour convention: blue font = analyst input; green font = formula linked from another worksheet; black font = same-sheet formula; red fill/text = failed check or warning. All monetary values are USD millions unless stated otherwise.</x:v>
      </x:c>
      <x:c r="D13" s="10" t="str">
        <x:v>Colour convention: blue font = analyst input; green font = formula linked from another worksheet; black font = same-sheet formula; red fill/text = failed check or warning. All monetary values are USD millions unless stated otherwise.</x:v>
      </x:c>
      <x:c r="E13" s="10" t="str">
        <x:v>Colour convention: blue font = analyst input; green font = formula linked from another worksheet; black font = same-sheet formula; red fill/text = failed check or warning. All monetary values are USD millions unless stated otherwise.</x:v>
      </x:c>
      <x:c r="F13" s="10" t="str">
        <x:v>Colour convention: blue font = analyst input; green font = formula linked from another worksheet; black font = same-sheet formula; red fill/text = failed check or warning. All monetary values are USD millions unless stated otherwise.</x:v>
      </x:c>
      <x:c r="G13" s="10" t="str">
        <x:v>Colour convention: blue font = analyst input; green font = formula linked from another worksheet; black font = same-sheet formula; red fill/text = failed check or warning. All monetary values are USD millions unless stated otherwise.</x:v>
      </x:c>
      <x:c r="H13" s="10" t="str">
        <x:v>Colour convention: blue font = analyst input; green font = formula linked from another worksheet; black font = same-sheet formula; red fill/text = failed check or warning. All monetary values are USD millions unless stated otherwise.</x:v>
      </x:c>
    </x:row>
    <x:row r="14">
      <x:c r="A14" s="10" t="str">
        <x:v>Colour convention: blue font = analyst input; green font = formula linked from another worksheet; black font = same-sheet formula; red fill/text = failed check or warning. All monetary values are USD millions unless stated otherwise.</x:v>
      </x:c>
      <x:c r="B14" s="10" t="str">
        <x:v>Colour convention: blue font = analyst input; green font = formula linked from another worksheet; black font = same-sheet formula; red fill/text = failed check or warning. All monetary values are USD millions unless stated otherwise.</x:v>
      </x:c>
      <x:c r="C14" s="10" t="str">
        <x:v>Colour convention: blue font = analyst input; green font = formula linked from another worksheet; black font = same-sheet formula; red fill/text = failed check or warning. All monetary values are USD millions unless stated otherwise.</x:v>
      </x:c>
      <x:c r="D14" s="10" t="str">
        <x:v>Colour convention: blue font = analyst input; green font = formula linked from another worksheet; black font = same-sheet formula; red fill/text = failed check or warning. All monetary values are USD millions unless stated otherwise.</x:v>
      </x:c>
      <x:c r="E14" s="10" t="str">
        <x:v>Colour convention: blue font = analyst input; green font = formula linked from another worksheet; black font = same-sheet formula; red fill/text = failed check or warning. All monetary values are USD millions unless stated otherwise.</x:v>
      </x:c>
      <x:c r="F14" s="10" t="str">
        <x:v>Colour convention: blue font = analyst input; green font = formula linked from another worksheet; black font = same-sheet formula; red fill/text = failed check or warning. All monetary values are USD millions unless stated otherwise.</x:v>
      </x:c>
      <x:c r="G14" s="10" t="str">
        <x:v>Colour convention: blue font = analyst input; green font = formula linked from another worksheet; black font = same-sheet formula; red fill/text = failed check or warning. All monetary values are USD millions unless stated otherwise.</x:v>
      </x:c>
      <x:c r="H14" s="10" t="str">
        <x:v>Colour convention: blue font = analyst input; green font = formula linked from another worksheet; black font = same-sheet formula; red fill/text = failed check or warning. All monetary values are USD millions unless stated otherwise.</x:v>
      </x:c>
    </x:row>
    <x:row r="15">
      <x:c r="A15" s="10" t="str">
        <x:v>Colour convention: blue font = analyst input; green font = formula linked from another worksheet; black font = same-sheet formula; red fill/text = failed check or warning. All monetary values are USD millions unless stated otherwise.</x:v>
      </x:c>
      <x:c r="B15" s="10" t="str">
        <x:v>Colour convention: blue font = analyst input; green font = formula linked from another worksheet; black font = same-sheet formula; red fill/text = failed check or warning. All monetary values are USD millions unless stated otherwise.</x:v>
      </x:c>
      <x:c r="C15" s="10" t="str">
        <x:v>Colour convention: blue font = analyst input; green font = formula linked from another worksheet; black font = same-sheet formula; red fill/text = failed check or warning. All monetary values are USD millions unless stated otherwise.</x:v>
      </x:c>
      <x:c r="D15" s="10" t="str">
        <x:v>Colour convention: blue font = analyst input; green font = formula linked from another worksheet; black font = same-sheet formula; red fill/text = failed check or warning. All monetary values are USD millions unless stated otherwise.</x:v>
      </x:c>
      <x:c r="E15" s="10" t="str">
        <x:v>Colour convention: blue font = analyst input; green font = formula linked from another worksheet; black font = same-sheet formula; red fill/text = failed check or warning. All monetary values are USD millions unless stated otherwise.</x:v>
      </x:c>
      <x:c r="F15" s="10" t="str">
        <x:v>Colour convention: blue font = analyst input; green font = formula linked from another worksheet; black font = same-sheet formula; red fill/text = failed check or warning. All monetary values are USD millions unless stated otherwise.</x:v>
      </x:c>
      <x:c r="G15" s="10" t="str">
        <x:v>Colour convention: blue font = analyst input; green font = formula linked from another worksheet; black font = same-sheet formula; red fill/text = failed check or warning. All monetary values are USD millions unless stated otherwise.</x:v>
      </x:c>
      <x:c r="H15" s="10" t="str">
        <x:v>Colour convention: blue font = analyst input; green font = formula linked from another worksheet; black font = same-sheet formula; red fill/text = failed check or warning. All monetary values are USD millions unless stated otherwise.</x:v>
      </x:c>
    </x:row>
  </x:sheetData>
  <x:mergeCells>
    <x:mergeCell ref="A1:H2"/>
    <x:mergeCell ref="A13:H15"/>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34" hidden="0" customWidth="1"/>
    <x:col min="2" max="2" width="13" hidden="0" customWidth="1"/>
    <x:col min="3" max="3" width="13" hidden="0" customWidth="1"/>
    <x:col min="4" max="4" width="13" hidden="0" customWidth="1"/>
    <x:col min="5" max="5" width="13" hidden="0" customWidth="1"/>
    <x:col min="6" max="6" width="13" hidden="0" customWidth="1"/>
    <x:col min="7" max="7" width="13" hidden="0" customWidth="1"/>
    <x:col min="8" max="8" width="13" hidden="0" customWidth="1"/>
    <x:col min="9" max="9" width="13" hidden="0" customWidth="1"/>
    <x:col min="10" max="10" width="13" hidden="0" customWidth="1"/>
    <x:col min="11" max="11" width="13" hidden="0" customWidth="1"/>
  </x:cols>
  <x:sheetData>
    <x:row r="1" ht="28" customHeight="1">
      <x:c r="A1" s="2" t="str">
        <x:v>Assumptions — Base, Bear and Bull</x:v>
      </x:c>
      <x:c r="B1" s="2" t="str">
        <x:v>Assumptions — Base, Bear and Bull</x:v>
      </x:c>
      <x:c r="C1" s="2" t="str">
        <x:v>Assumptions — Base, Bear and Bull</x:v>
      </x:c>
      <x:c r="D1" s="2" t="str">
        <x:v>Assumptions — Base, Bear and Bull</x:v>
      </x:c>
      <x:c r="E1" s="2" t="str">
        <x:v>Assumptions — Base, Bear and Bull</x:v>
      </x:c>
      <x:c r="F1" s="2" t="str">
        <x:v>Assumptions — Base, Bear and Bull</x:v>
      </x:c>
      <x:c r="G1" s="2" t="str">
        <x:v>Assumptions — Base, Bear and Bull</x:v>
      </x:c>
      <x:c r="H1" s="2" t="str">
        <x:v>Assumptions — Base, Bear and Bull</x:v>
      </x:c>
      <x:c r="I1" s="2" t="str">
        <x:v>Assumptions — Base, Bear and Bull</x:v>
      </x:c>
      <x:c r="J1" s="2" t="str">
        <x:v>Assumptions — Base, Bear and Bull</x:v>
      </x:c>
      <x:c r="K1" s="2" t="str">
        <x:v>Assumptions — Base, Bear and Bull</x:v>
      </x:c>
    </x:row>
    <x:row r="2" ht="28" customHeight="1">
      <x:c r="A2" s="2" t="str">
        <x:v>Assumptions — Base, Bear and Bull</x:v>
      </x:c>
      <x:c r="B2" s="2" t="str">
        <x:v>Assumptions — Base, Bear and Bull</x:v>
      </x:c>
      <x:c r="C2" s="2" t="str">
        <x:v>Assumptions — Base, Bear and Bull</x:v>
      </x:c>
      <x:c r="D2" s="2" t="str">
        <x:v>Assumptions — Base, Bear and Bull</x:v>
      </x:c>
      <x:c r="E2" s="2" t="str">
        <x:v>Assumptions — Base, Bear and Bull</x:v>
      </x:c>
      <x:c r="F2" s="2" t="str">
        <x:v>Assumptions — Base, Bear and Bull</x:v>
      </x:c>
      <x:c r="G2" s="2" t="str">
        <x:v>Assumptions — Base, Bear and Bull</x:v>
      </x:c>
      <x:c r="H2" s="2" t="str">
        <x:v>Assumptions — Base, Bear and Bull</x:v>
      </x:c>
      <x:c r="I2" s="2" t="str">
        <x:v>Assumptions — Base, Bear and Bull</x:v>
      </x:c>
      <x:c r="J2" s="2" t="str">
        <x:v>Assumptions — Base, Bear and Bull</x:v>
      </x:c>
      <x:c r="K2" s="2" t="str">
        <x:v>Assumptions — Base, Bear and Bull</x:v>
      </x:c>
    </x:row>
    <x:row r="4">
      <x:c r="A4" s="5" t="str">
        <x:v>Base case</x:v>
      </x:c>
      <x:c r="B4" s="5" t="str">
        <x:v>2026E</x:v>
      </x:c>
      <x:c r="C4" s="5" t="str">
        <x:v>2027E</x:v>
      </x:c>
      <x:c r="D4" s="5" t="str">
        <x:v>2028E</x:v>
      </x:c>
      <x:c r="E4" s="5" t="str">
        <x:v>2029E</x:v>
      </x:c>
      <x:c r="F4" s="5" t="str">
        <x:v>2030E</x:v>
      </x:c>
      <x:c r="G4" s="5" t="str">
        <x:v>2031E</x:v>
      </x:c>
      <x:c r="H4" s="5" t="str">
        <x:v>2032E</x:v>
      </x:c>
      <x:c r="I4" s="5" t="str">
        <x:v>2033E</x:v>
      </x:c>
      <x:c r="J4" s="5" t="str">
        <x:v>2034E</x:v>
      </x:c>
      <x:c r="K4" s="5" t="str">
        <x:v>2035E</x:v>
      </x:c>
    </x:row>
    <x:row r="5">
      <x:c r="A5" t="str">
        <x:v>Revenue growth</x:v>
      </x:c>
      <x:c r="B5" s="13" t="n">
        <x:v>0.393</x:v>
      </x:c>
      <x:c r="C5" s="13" t="n">
        <x:v>0.16</x:v>
      </x:c>
      <x:c r="D5" s="13" t="n">
        <x:v>0.11</x:v>
      </x:c>
      <x:c r="E5" s="13" t="n">
        <x:v>0.13</x:v>
      </x:c>
      <x:c r="F5" s="13" t="n">
        <x:v>0.11</x:v>
      </x:c>
      <x:c r="G5" s="13" t="n">
        <x:v>0.09</x:v>
      </x:c>
      <x:c r="H5" s="13" t="n">
        <x:v>0.08</x:v>
      </x:c>
      <x:c r="I5" s="13" t="n">
        <x:v>0.07</x:v>
      </x:c>
      <x:c r="J5" s="13" t="n">
        <x:v>0.06</x:v>
      </x:c>
      <x:c r="K5" s="13" t="n">
        <x:v>0.05</x:v>
      </x:c>
    </x:row>
    <x:row r="6">
      <x:c r="A6" t="str">
        <x:v>Adjusted EBITDA margin</x:v>
      </x:c>
      <x:c r="B6" s="13" t="n">
        <x:v>0.223</x:v>
      </x:c>
      <x:c r="C6" s="13" t="n">
        <x:v>0.234</x:v>
      </x:c>
      <x:c r="D6" s="13" t="n">
        <x:v>0.25</x:v>
      </x:c>
      <x:c r="E6" s="13" t="n">
        <x:v>0.255</x:v>
      </x:c>
      <x:c r="F6" s="13" t="n">
        <x:v>0.26</x:v>
      </x:c>
      <x:c r="G6" s="13" t="n">
        <x:v>0.265</x:v>
      </x:c>
      <x:c r="H6" s="13" t="n">
        <x:v>0.27</x:v>
      </x:c>
      <x:c r="I6" s="13" t="n">
        <x:v>0.272</x:v>
      </x:c>
      <x:c r="J6" s="13" t="n">
        <x:v>0.274</x:v>
      </x:c>
      <x:c r="K6" s="13" t="n">
        <x:v>0.275</x:v>
      </x:c>
    </x:row>
    <x:row r="7">
      <x:c r="A7" t="str">
        <x:v>Company FCF margin</x:v>
      </x:c>
      <x:c r="B7" s="13" t="n">
        <x:v>0.14</x:v>
      </x:c>
      <x:c r="C7" s="13" t="n">
        <x:v>0.15</x:v>
      </x:c>
      <x:c r="D7" s="13" t="n">
        <x:v>0.161</x:v>
      </x:c>
      <x:c r="E7" s="13" t="n">
        <x:v>0.17</x:v>
      </x:c>
      <x:c r="F7" s="13" t="n">
        <x:v>0.18</x:v>
      </x:c>
      <x:c r="G7" s="13" t="n">
        <x:v>0.19</x:v>
      </x:c>
      <x:c r="H7" s="13" t="n">
        <x:v>0.195</x:v>
      </x:c>
      <x:c r="I7" s="13" t="n">
        <x:v>0.2</x:v>
      </x:c>
      <x:c r="J7" s="13" t="n">
        <x:v>0.205</x:v>
      </x:c>
      <x:c r="K7" s="13" t="n">
        <x:v>0.21</x:v>
      </x:c>
    </x:row>
    <x:row r="8">
      <x:c r="A8" t="str">
        <x:v>SBC / revenue</x:v>
      </x:c>
      <x:c r="B8" s="13" t="n">
        <x:v>0.1101</x:v>
      </x:c>
      <x:c r="C8" s="13" t="n">
        <x:v>0.085</x:v>
      </x:c>
      <x:c r="D8" s="13" t="n">
        <x:v>0.06</x:v>
      </x:c>
      <x:c r="E8" s="13" t="n">
        <x:v>0.055</x:v>
      </x:c>
      <x:c r="F8" s="13" t="n">
        <x:v>0.05</x:v>
      </x:c>
      <x:c r="G8" s="13" t="n">
        <x:v>0.045</x:v>
      </x:c>
      <x:c r="H8" s="13" t="n">
        <x:v>0.042</x:v>
      </x:c>
      <x:c r="I8" s="13" t="n">
        <x:v>0.04</x:v>
      </x:c>
      <x:c r="J8" s="13" t="n">
        <x:v>0.038</x:v>
      </x:c>
      <x:c r="K8" s="13" t="n">
        <x:v>0.035</x:v>
      </x:c>
    </x:row>
    <x:row r="9">
      <x:c r="A9" t="str">
        <x:v>D&amp;A / revenue</x:v>
      </x:c>
      <x:c r="B9" s="13" t="n">
        <x:v>0.052</x:v>
      </x:c>
      <x:c r="C9" s="13" t="n">
        <x:v>0.052</x:v>
      </x:c>
      <x:c r="D9" s="13" t="n">
        <x:v>0.051</x:v>
      </x:c>
      <x:c r="E9" s="13" t="n">
        <x:v>0.05</x:v>
      </x:c>
      <x:c r="F9" s="13" t="n">
        <x:v>0.049</x:v>
      </x:c>
      <x:c r="G9" s="13" t="n">
        <x:v>0.048</x:v>
      </x:c>
      <x:c r="H9" s="13" t="n">
        <x:v>0.047</x:v>
      </x:c>
      <x:c r="I9" s="13" t="n">
        <x:v>0.046</x:v>
      </x:c>
      <x:c r="J9" s="13" t="n">
        <x:v>0.045</x:v>
      </x:c>
      <x:c r="K9" s="13" t="n">
        <x:v>0.044</x:v>
      </x:c>
    </x:row>
    <x:row r="10">
      <x:c r="A10" t="str">
        <x:v>Recurring M&amp;A/restruct. / revenue</x:v>
      </x:c>
      <x:c r="B10" s="13" t="n">
        <x:v>0.0055</x:v>
      </x:c>
      <x:c r="C10" s="13" t="n">
        <x:v>0.005</x:v>
      </x:c>
      <x:c r="D10" s="13" t="n">
        <x:v>0.0045</x:v>
      </x:c>
      <x:c r="E10" s="13" t="n">
        <x:v>0.004</x:v>
      </x:c>
      <x:c r="F10" s="13" t="n">
        <x:v>0.004</x:v>
      </x:c>
      <x:c r="G10" s="13" t="n">
        <x:v>0.0035</x:v>
      </x:c>
      <x:c r="H10" s="13" t="n">
        <x:v>0.0035</x:v>
      </x:c>
      <x:c r="I10" s="13" t="n">
        <x:v>0.003</x:v>
      </x:c>
      <x:c r="J10" s="13" t="n">
        <x:v>0.003</x:v>
      </x:c>
      <x:c r="K10" s="13" t="n">
        <x:v>0.003</x:v>
      </x:c>
    </x:row>
    <x:row r="11">
      <x:c r="A11" t="str">
        <x:v>Cash interest, net</x:v>
      </x:c>
      <x:c r="B11" s="14" t="n">
        <x:v>5</x:v>
      </x:c>
      <x:c r="C11" s="14" t="n">
        <x:v>5</x:v>
      </x:c>
      <x:c r="D11" s="14" t="n">
        <x:v>4</x:v>
      </x:c>
      <x:c r="E11" s="14" t="n">
        <x:v>3</x:v>
      </x:c>
      <x:c r="F11" s="14" t="n">
        <x:v>2</x:v>
      </x:c>
      <x:c r="G11" s="14" t="n">
        <x:v>0</x:v>
      </x:c>
      <x:c r="H11" s="14" t="n">
        <x:v>-2</x:v>
      </x:c>
      <x:c r="I11" s="14" t="n">
        <x:v>-4</x:v>
      </x:c>
      <x:c r="J11" s="14" t="n">
        <x:v>-6</x:v>
      </x:c>
      <x:c r="K11" s="14" t="n">
        <x:v>-8</x:v>
      </x:c>
    </x:row>
    <x:row r="12">
      <x:c r="A12" t="str">
        <x:v>Normalised cash tax rate</x:v>
      </x:c>
      <x:c r="B12" s="13" t="n">
        <x:v>0.15</x:v>
      </x:c>
      <x:c r="C12" s="13" t="n">
        <x:v>0.18</x:v>
      </x:c>
      <x:c r="D12" s="13" t="n">
        <x:v>0.2</x:v>
      </x:c>
      <x:c r="E12" s="13" t="n">
        <x:v>0.22</x:v>
      </x:c>
      <x:c r="F12" s="13" t="n">
        <x:v>0.23</x:v>
      </x:c>
      <x:c r="G12" s="13" t="n">
        <x:v>0.24</x:v>
      </x:c>
      <x:c r="H12" s="13" t="n">
        <x:v>0.25</x:v>
      </x:c>
      <x:c r="I12" s="13" t="n">
        <x:v>0.25</x:v>
      </x:c>
      <x:c r="J12" s="13" t="n">
        <x:v>0.25</x:v>
      </x:c>
      <x:c r="K12" s="13" t="n">
        <x:v>0.25</x:v>
      </x:c>
    </x:row>
    <x:row r="13">
      <x:c r="A13" t="str">
        <x:v>Diluted share growth</x:v>
      </x:c>
      <x:c r="B13" s="13" t="n">
        <x:v>0.1624603835</x:v>
      </x:c>
      <x:c r="C13" s="13" t="n">
        <x:v>0.03</x:v>
      </x:c>
      <x:c r="D13" s="13" t="n">
        <x:v>0.025</x:v>
      </x:c>
      <x:c r="E13" s="13" t="n">
        <x:v>0.02</x:v>
      </x:c>
      <x:c r="F13" s="13" t="n">
        <x:v>0.015</x:v>
      </x:c>
      <x:c r="G13" s="13" t="n">
        <x:v>0.01</x:v>
      </x:c>
      <x:c r="H13" s="13" t="n">
        <x:v>0.01</x:v>
      </x:c>
      <x:c r="I13" s="13" t="n">
        <x:v>0.005</x:v>
      </x:c>
      <x:c r="J13" s="13" t="n">
        <x:v>0.005</x:v>
      </x:c>
      <x:c r="K13" s="13" t="n">
        <x:v>0.005</x:v>
      </x:c>
    </x:row>
    <x:row r="15">
      <x:c r="A15" s="5" t="str">
        <x:v>Valuation inputs</x:v>
      </x:c>
      <x:c r="B15" s="5" t="str">
        <x:v>Value</x:v>
      </x:c>
      <x:c r="D15" s="5" t="str">
        <x:v>Scenario</x:v>
      </x:c>
      <x:c r="E15" s="5" t="str">
        <x:v>Cost of equity</x:v>
      </x:c>
      <x:c r="F15" s="5" t="str">
        <x:v>Terminal growth</x:v>
      </x:c>
      <x:c r="G15" s="5" t="str">
        <x:v>Weight</x:v>
      </x:c>
    </x:row>
    <x:row r="16">
      <x:c r="A16" t="str">
        <x:v>Share price</x:v>
      </x:c>
      <x:c r="B16" s="15" t="n">
        <x:v>29.07</x:v>
      </x:c>
      <x:c r="D16" t="str">
        <x:v>Bear</x:v>
      </x:c>
      <x:c r="E16" s="13" t="n">
        <x:v>0.12</x:v>
      </x:c>
      <x:c r="F16" s="13" t="n">
        <x:v>0.025</x:v>
      </x:c>
      <x:c r="G16" s="13" t="n">
        <x:v>0.2</x:v>
      </x:c>
    </x:row>
    <x:row r="17">
      <x:c r="A17" t="str">
        <x:v>Current common shares (m)</x:v>
      </x:c>
      <x:c r="B17" s="16" t="n">
        <x:v>251.013605</x:v>
      </x:c>
      <x:c r="D17" t="str">
        <x:v>Base</x:v>
      </x:c>
      <x:c r="E17" s="13" t="n">
        <x:v>0.106</x:v>
      </x:c>
      <x:c r="F17" s="13" t="n">
        <x:v>0.03</x:v>
      </x:c>
      <x:c r="G17" s="13" t="n">
        <x:v>0.6</x:v>
      </x:c>
    </x:row>
    <x:row r="18">
      <x:c r="A18" t="str">
        <x:v>Cash</x:v>
      </x:c>
      <x:c r="B18" s="15" t="n">
        <x:v>309.952</x:v>
      </x:c>
      <x:c r="D18" t="str">
        <x:v>Bull</x:v>
      </x:c>
      <x:c r="E18" s="13" t="n">
        <x:v>0.095</x:v>
      </x:c>
      <x:c r="F18" s="13" t="n">
        <x:v>0.0325</x:v>
      </x:c>
      <x:c r="G18" s="13" t="n">
        <x:v>0.2</x:v>
      </x:c>
    </x:row>
    <x:row r="19">
      <x:c r="A19" t="str">
        <x:v>Borrowings</x:v>
      </x:c>
      <x:c r="B19" s="15" t="n">
        <x:v>197.481</x:v>
      </x:c>
      <x:c r="D19" t="str"/>
      <x:c r="E19" s="13"/>
      <x:c r="F19" s="13"/>
      <x:c r="G19" s="13"/>
    </x:row>
    <x:row r="20">
      <x:c r="A20" t="str">
        <x:v>Acquisition liabilities</x:v>
      </x:c>
      <x:c r="B20" s="15" t="n">
        <x:v>50.905</x:v>
      </x:c>
      <x:c r="D20" t="str">
        <x:v>10Y U.S. Treasury</x:v>
      </x:c>
      <x:c r="E20" s="13" t="n">
        <x:v>0.0474</x:v>
      </x:c>
      <x:c r="F20" s="13"/>
      <x:c r="G20" s="13"/>
    </x:row>
    <x:row r="21">
      <x:c r="A21" t="str">
        <x:v>Base cost of equity</x:v>
      </x:c>
      <x:c r="B21" s="13" t="n">
        <x:v>0.106</x:v>
      </x:c>
      <x:c r="D21" t="str">
        <x:v>U.S. implied ERP (1 Jul 2026)</x:v>
      </x:c>
      <x:c r="E21" s="13" t="n">
        <x:v>0.0418</x:v>
      </x:c>
      <x:c r="F21" s="13"/>
      <x:c r="G21" s="13"/>
    </x:row>
    <x:row r="22">
      <x:c r="A22" t="str">
        <x:v>Base terminal growth</x:v>
      </x:c>
      <x:c r="B22" s="13" t="n">
        <x:v>0.03</x:v>
      </x:c>
      <x:c r="D22" t="str">
        <x:v>Reference beta implied by base CoE</x:v>
      </x:c>
      <x:c r="E22" s="18" t="n">
        <x:f>(B21-E20)/E21</x:f>
        <x:v>1.4019138755980862</x:v>
      </x:c>
      <x:c r="F22" s="13"/>
      <x:c r="G22" s="13"/>
    </x:row>
    <x:row r="25">
      <x:c r="A25" s="5" t="str">
        <x:v>Bear case</x:v>
      </x:c>
      <x:c r="B25" s="5" t="str">
        <x:v>2026E</x:v>
      </x:c>
      <x:c r="C25" s="5" t="str">
        <x:v>2027E</x:v>
      </x:c>
      <x:c r="D25" s="5" t="str">
        <x:v>2028E</x:v>
      </x:c>
      <x:c r="E25" s="5" t="str">
        <x:v>2029E</x:v>
      </x:c>
      <x:c r="F25" s="5" t="str">
        <x:v>2030E</x:v>
      </x:c>
      <x:c r="G25" s="5" t="str">
        <x:v>2031E</x:v>
      </x:c>
      <x:c r="H25" s="5" t="str">
        <x:v>2032E</x:v>
      </x:c>
      <x:c r="I25" s="5" t="str">
        <x:v>2033E</x:v>
      </x:c>
      <x:c r="J25" s="5" t="str">
        <x:v>2034E</x:v>
      </x:c>
      <x:c r="K25" s="5" t="str">
        <x:v>2035E</x:v>
      </x:c>
    </x:row>
    <x:row r="26">
      <x:c r="A26" t="str">
        <x:v>Revenue growth</x:v>
      </x:c>
      <x:c r="B26" s="13" t="n">
        <x:v>0.393</x:v>
      </x:c>
      <x:c r="C26" s="13" t="n">
        <x:v>0.12</x:v>
      </x:c>
      <x:c r="D26" s="13" t="n">
        <x:v>0.08</x:v>
      </x:c>
      <x:c r="E26" s="13" t="n">
        <x:v>0.08</x:v>
      </x:c>
      <x:c r="F26" s="13" t="n">
        <x:v>0.07</x:v>
      </x:c>
      <x:c r="G26" s="13" t="n">
        <x:v>0.06</x:v>
      </x:c>
      <x:c r="H26" s="13" t="n">
        <x:v>0.05</x:v>
      </x:c>
      <x:c r="I26" s="13" t="n">
        <x:v>0.05</x:v>
      </x:c>
      <x:c r="J26" s="13" t="n">
        <x:v>0.04</x:v>
      </x:c>
      <x:c r="K26" s="13" t="n">
        <x:v>0.03</x:v>
      </x:c>
    </x:row>
    <x:row r="27">
      <x:c r="A27" t="str">
        <x:v>Company FCF margin</x:v>
      </x:c>
      <x:c r="B27" s="13" t="n">
        <x:v>0.14</x:v>
      </x:c>
      <x:c r="C27" s="13" t="n">
        <x:v>0.145</x:v>
      </x:c>
      <x:c r="D27" s="13" t="n">
        <x:v>0.15</x:v>
      </x:c>
      <x:c r="E27" s="13" t="n">
        <x:v>0.155</x:v>
      </x:c>
      <x:c r="F27" s="13" t="n">
        <x:v>0.16</x:v>
      </x:c>
      <x:c r="G27" s="13" t="n">
        <x:v>0.165</x:v>
      </x:c>
      <x:c r="H27" s="13" t="n">
        <x:v>0.168</x:v>
      </x:c>
      <x:c r="I27" s="13" t="n">
        <x:v>0.17</x:v>
      </x:c>
      <x:c r="J27" s="13" t="n">
        <x:v>0.172</x:v>
      </x:c>
      <x:c r="K27" s="13" t="n">
        <x:v>0.175</x:v>
      </x:c>
    </x:row>
    <x:row r="28">
      <x:c r="A28" t="str">
        <x:v>SBC / revenue</x:v>
      </x:c>
      <x:c r="B28" s="13" t="n">
        <x:v>0.1101</x:v>
      </x:c>
      <x:c r="C28" s="13" t="n">
        <x:v>0.1</x:v>
      </x:c>
      <x:c r="D28" s="13" t="n">
        <x:v>0.08</x:v>
      </x:c>
      <x:c r="E28" s="13" t="n">
        <x:v>0.07</x:v>
      </x:c>
      <x:c r="F28" s="13" t="n">
        <x:v>0.065</x:v>
      </x:c>
      <x:c r="G28" s="13" t="n">
        <x:v>0.06</x:v>
      </x:c>
      <x:c r="H28" s="13" t="n">
        <x:v>0.058</x:v>
      </x:c>
      <x:c r="I28" s="13" t="n">
        <x:v>0.057</x:v>
      </x:c>
      <x:c r="J28" s="13" t="n">
        <x:v>0.056</x:v>
      </x:c>
      <x:c r="K28" s="13" t="n">
        <x:v>0.055</x:v>
      </x:c>
    </x:row>
    <x:row r="31">
      <x:c r="A31" s="5" t="str">
        <x:v>Bull case</x:v>
      </x:c>
      <x:c r="B31" s="5" t="str">
        <x:v>2026E</x:v>
      </x:c>
      <x:c r="C31" s="5" t="str">
        <x:v>2027E</x:v>
      </x:c>
      <x:c r="D31" s="5" t="str">
        <x:v>2028E</x:v>
      </x:c>
      <x:c r="E31" s="5" t="str">
        <x:v>2029E</x:v>
      </x:c>
      <x:c r="F31" s="5" t="str">
        <x:v>2030E</x:v>
      </x:c>
      <x:c r="G31" s="5" t="str">
        <x:v>2031E</x:v>
      </x:c>
      <x:c r="H31" s="5" t="str">
        <x:v>2032E</x:v>
      </x:c>
      <x:c r="I31" s="5" t="str">
        <x:v>2033E</x:v>
      </x:c>
      <x:c r="J31" s="5" t="str">
        <x:v>2034E</x:v>
      </x:c>
      <x:c r="K31" s="5" t="str">
        <x:v>2035E</x:v>
      </x:c>
    </x:row>
    <x:row r="32">
      <x:c r="A32" t="str">
        <x:v>Revenue growth</x:v>
      </x:c>
      <x:c r="B32" s="13" t="n">
        <x:v>0.393</x:v>
      </x:c>
      <x:c r="C32" s="13" t="n">
        <x:v>0.2</x:v>
      </x:c>
      <x:c r="D32" s="13" t="n">
        <x:v>0.17</x:v>
      </x:c>
      <x:c r="E32" s="13" t="n">
        <x:v>0.17</x:v>
      </x:c>
      <x:c r="F32" s="13" t="n">
        <x:v>0.15</x:v>
      </x:c>
      <x:c r="G32" s="13" t="n">
        <x:v>0.13</x:v>
      </x:c>
      <x:c r="H32" s="13" t="n">
        <x:v>0.11</x:v>
      </x:c>
      <x:c r="I32" s="13" t="n">
        <x:v>0.09</x:v>
      </x:c>
      <x:c r="J32" s="13" t="n">
        <x:v>0.07</x:v>
      </x:c>
      <x:c r="K32" s="13" t="n">
        <x:v>0.06</x:v>
      </x:c>
    </x:row>
    <x:row r="33">
      <x:c r="A33" t="str">
        <x:v>Company FCF margin</x:v>
      </x:c>
      <x:c r="B33" s="13" t="n">
        <x:v>0.14</x:v>
      </x:c>
      <x:c r="C33" s="13" t="n">
        <x:v>0.16</x:v>
      </x:c>
      <x:c r="D33" s="13" t="n">
        <x:v>0.18</x:v>
      </x:c>
      <x:c r="E33" s="13" t="n">
        <x:v>0.2</x:v>
      </x:c>
      <x:c r="F33" s="13" t="n">
        <x:v>0.21</x:v>
      </x:c>
      <x:c r="G33" s="13" t="n">
        <x:v>0.22</x:v>
      </x:c>
      <x:c r="H33" s="13" t="n">
        <x:v>0.225</x:v>
      </x:c>
      <x:c r="I33" s="13" t="n">
        <x:v>0.23</x:v>
      </x:c>
      <x:c r="J33" s="13" t="n">
        <x:v>0.23</x:v>
      </x:c>
      <x:c r="K33" s="13" t="n">
        <x:v>0.23</x:v>
      </x:c>
    </x:row>
    <x:row r="34">
      <x:c r="A34" t="str">
        <x:v>SBC / revenue</x:v>
      </x:c>
      <x:c r="B34" s="13" t="n">
        <x:v>0.1101</x:v>
      </x:c>
      <x:c r="C34" s="13" t="n">
        <x:v>0.075</x:v>
      </x:c>
      <x:c r="D34" s="13" t="n">
        <x:v>0.055</x:v>
      </x:c>
      <x:c r="E34" s="13" t="n">
        <x:v>0.045</x:v>
      </x:c>
      <x:c r="F34" s="13" t="n">
        <x:v>0.04</x:v>
      </x:c>
      <x:c r="G34" s="13" t="n">
        <x:v>0.035</x:v>
      </x:c>
      <x:c r="H34" s="13" t="n">
        <x:v>0.032</x:v>
      </x:c>
      <x:c r="I34" s="13" t="n">
        <x:v>0.03</x:v>
      </x:c>
      <x:c r="J34" s="13" t="n">
        <x:v>0.028</x:v>
      </x:c>
      <x:c r="K34" s="13" t="n">
        <x:v>0.025</x:v>
      </x:c>
    </x:row>
    <x:row r="36">
      <x:c r="A36" s="10" t="str">
        <x:v>Base 2027–28 revenue is anchored near management's $2.3bn+ 2028 target, not the more aggressive growth path required to support the current price. Bull and bear cases vary growth, company FCF margin and SBC intensity independently. Forecast SBC includes future normal-course grants; the filed unrecognised schedule alone is not a steady-state forecast.</x:v>
      </x:c>
      <x:c r="B36" s="10" t="str">
        <x:v>Base 2027–28 revenue is anchored near management's $2.3bn+ 2028 target, not the more aggressive growth path required to support the current price. Bull and bear cases vary growth, company FCF margin and SBC intensity independently. Forecast SBC includes future normal-course grants; the filed unrecognised schedule alone is not a steady-state forecast.</x:v>
      </x:c>
      <x:c r="C36" s="10" t="str">
        <x:v>Base 2027–28 revenue is anchored near management's $2.3bn+ 2028 target, not the more aggressive growth path required to support the current price. Bull and bear cases vary growth, company FCF margin and SBC intensity independently. Forecast SBC includes future normal-course grants; the filed unrecognised schedule alone is not a steady-state forecast.</x:v>
      </x:c>
      <x:c r="D36" s="10" t="str">
        <x:v>Base 2027–28 revenue is anchored near management's $2.3bn+ 2028 target, not the more aggressive growth path required to support the current price. Bull and bear cases vary growth, company FCF margin and SBC intensity independently. Forecast SBC includes future normal-course grants; the filed unrecognised schedule alone is not a steady-state forecast.</x:v>
      </x:c>
      <x:c r="E36" s="10" t="str">
        <x:v>Base 2027–28 revenue is anchored near management's $2.3bn+ 2028 target, not the more aggressive growth path required to support the current price. Bull and bear cases vary growth, company FCF margin and SBC intensity independently. Forecast SBC includes future normal-course grants; the filed unrecognised schedule alone is not a steady-state forecast.</x:v>
      </x:c>
      <x:c r="F36" s="10" t="str">
        <x:v>Base 2027–28 revenue is anchored near management's $2.3bn+ 2028 target, not the more aggressive growth path required to support the current price. Bull and bear cases vary growth, company FCF margin and SBC intensity independently. Forecast SBC includes future normal-course grants; the filed unrecognised schedule alone is not a steady-state forecast.</x:v>
      </x:c>
      <x:c r="G36" s="10" t="str">
        <x:v>Base 2027–28 revenue is anchored near management's $2.3bn+ 2028 target, not the more aggressive growth path required to support the current price. Bull and bear cases vary growth, company FCF margin and SBC intensity independently. Forecast SBC includes future normal-course grants; the filed unrecognised schedule alone is not a steady-state forecast.</x:v>
      </x:c>
      <x:c r="H36" s="10" t="str">
        <x:v>Base 2027–28 revenue is anchored near management's $2.3bn+ 2028 target, not the more aggressive growth path required to support the current price. Bull and bear cases vary growth, company FCF margin and SBC intensity independently. Forecast SBC includes future normal-course grants; the filed unrecognised schedule alone is not a steady-state forecast.</x:v>
      </x:c>
      <x:c r="I36" s="10" t="str">
        <x:v>Base 2027–28 revenue is anchored near management's $2.3bn+ 2028 target, not the more aggressive growth path required to support the current price. Bull and bear cases vary growth, company FCF margin and SBC intensity independently. Forecast SBC includes future normal-course grants; the filed unrecognised schedule alone is not a steady-state forecast.</x:v>
      </x:c>
      <x:c r="J36" s="10" t="str">
        <x:v>Base 2027–28 revenue is anchored near management's $2.3bn+ 2028 target, not the more aggressive growth path required to support the current price. Bull and bear cases vary growth, company FCF margin and SBC intensity independently. Forecast SBC includes future normal-course grants; the filed unrecognised schedule alone is not a steady-state forecast.</x:v>
      </x:c>
      <x:c r="K36" s="10" t="str">
        <x:v>Base 2027–28 revenue is anchored near management's $2.3bn+ 2028 target, not the more aggressive growth path required to support the current price. Bull and bear cases vary growth, company FCF margin and SBC intensity independently. Forecast SBC includes future normal-course grants; the filed unrecognised schedule alone is not a steady-state forecast.</x:v>
      </x:c>
    </x:row>
    <x:row r="37">
      <x:c r="A37" s="10" t="str">
        <x:v>Base 2027–28 revenue is anchored near management's $2.3bn+ 2028 target, not the more aggressive growth path required to support the current price. Bull and bear cases vary growth, company FCF margin and SBC intensity independently. Forecast SBC includes future normal-course grants; the filed unrecognised schedule alone is not a steady-state forecast.</x:v>
      </x:c>
      <x:c r="B37" s="10" t="str">
        <x:v>Base 2027–28 revenue is anchored near management's $2.3bn+ 2028 target, not the more aggressive growth path required to support the current price. Bull and bear cases vary growth, company FCF margin and SBC intensity independently. Forecast SBC includes future normal-course grants; the filed unrecognised schedule alone is not a steady-state forecast.</x:v>
      </x:c>
      <x:c r="C37" s="10" t="str">
        <x:v>Base 2027–28 revenue is anchored near management's $2.3bn+ 2028 target, not the more aggressive growth path required to support the current price. Bull and bear cases vary growth, company FCF margin and SBC intensity independently. Forecast SBC includes future normal-course grants; the filed unrecognised schedule alone is not a steady-state forecast.</x:v>
      </x:c>
      <x:c r="D37" s="10" t="str">
        <x:v>Base 2027–28 revenue is anchored near management's $2.3bn+ 2028 target, not the more aggressive growth path required to support the current price. Bull and bear cases vary growth, company FCF margin and SBC intensity independently. Forecast SBC includes future normal-course grants; the filed unrecognised schedule alone is not a steady-state forecast.</x:v>
      </x:c>
      <x:c r="E37" s="10" t="str">
        <x:v>Base 2027–28 revenue is anchored near management's $2.3bn+ 2028 target, not the more aggressive growth path required to support the current price. Bull and bear cases vary growth, company FCF margin and SBC intensity independently. Forecast SBC includes future normal-course grants; the filed unrecognised schedule alone is not a steady-state forecast.</x:v>
      </x:c>
      <x:c r="F37" s="10" t="str">
        <x:v>Base 2027–28 revenue is anchored near management's $2.3bn+ 2028 target, not the more aggressive growth path required to support the current price. Bull and bear cases vary growth, company FCF margin and SBC intensity independently. Forecast SBC includes future normal-course grants; the filed unrecognised schedule alone is not a steady-state forecast.</x:v>
      </x:c>
      <x:c r="G37" s="10" t="str">
        <x:v>Base 2027–28 revenue is anchored near management's $2.3bn+ 2028 target, not the more aggressive growth path required to support the current price. Bull and bear cases vary growth, company FCF margin and SBC intensity independently. Forecast SBC includes future normal-course grants; the filed unrecognised schedule alone is not a steady-state forecast.</x:v>
      </x:c>
      <x:c r="H37" s="10" t="str">
        <x:v>Base 2027–28 revenue is anchored near management's $2.3bn+ 2028 target, not the more aggressive growth path required to support the current price. Bull and bear cases vary growth, company FCF margin and SBC intensity independently. Forecast SBC includes future normal-course grants; the filed unrecognised schedule alone is not a steady-state forecast.</x:v>
      </x:c>
      <x:c r="I37" s="10" t="str">
        <x:v>Base 2027–28 revenue is anchored near management's $2.3bn+ 2028 target, not the more aggressive growth path required to support the current price. Bull and bear cases vary growth, company FCF margin and SBC intensity independently. Forecast SBC includes future normal-course grants; the filed unrecognised schedule alone is not a steady-state forecast.</x:v>
      </x:c>
      <x:c r="J37" s="10" t="str">
        <x:v>Base 2027–28 revenue is anchored near management's $2.3bn+ 2028 target, not the more aggressive growth path required to support the current price. Bull and bear cases vary growth, company FCF margin and SBC intensity independently. Forecast SBC includes future normal-course grants; the filed unrecognised schedule alone is not a steady-state forecast.</x:v>
      </x:c>
      <x:c r="K37" s="10" t="str">
        <x:v>Base 2027–28 revenue is anchored near management's $2.3bn+ 2028 target, not the more aggressive growth path required to support the current price. Bull and bear cases vary growth, company FCF margin and SBC intensity independently. Forecast SBC includes future normal-course grants; the filed unrecognised schedule alone is not a steady-state forecast.</x:v>
      </x:c>
    </x:row>
    <x:row r="38">
      <x:c r="A38" s="10" t="str">
        <x:v>Base 2027–28 revenue is anchored near management's $2.3bn+ 2028 target, not the more aggressive growth path required to support the current price. Bull and bear cases vary growth, company FCF margin and SBC intensity independently. Forecast SBC includes future normal-course grants; the filed unrecognised schedule alone is not a steady-state forecast.</x:v>
      </x:c>
      <x:c r="B38" s="10" t="str">
        <x:v>Base 2027–28 revenue is anchored near management's $2.3bn+ 2028 target, not the more aggressive growth path required to support the current price. Bull and bear cases vary growth, company FCF margin and SBC intensity independently. Forecast SBC includes future normal-course grants; the filed unrecognised schedule alone is not a steady-state forecast.</x:v>
      </x:c>
      <x:c r="C38" s="10" t="str">
        <x:v>Base 2027–28 revenue is anchored near management's $2.3bn+ 2028 target, not the more aggressive growth path required to support the current price. Bull and bear cases vary growth, company FCF margin and SBC intensity independently. Forecast SBC includes future normal-course grants; the filed unrecognised schedule alone is not a steady-state forecast.</x:v>
      </x:c>
      <x:c r="D38" s="10" t="str">
        <x:v>Base 2027–28 revenue is anchored near management's $2.3bn+ 2028 target, not the more aggressive growth path required to support the current price. Bull and bear cases vary growth, company FCF margin and SBC intensity independently. Forecast SBC includes future normal-course grants; the filed unrecognised schedule alone is not a steady-state forecast.</x:v>
      </x:c>
      <x:c r="E38" s="10" t="str">
        <x:v>Base 2027–28 revenue is anchored near management's $2.3bn+ 2028 target, not the more aggressive growth path required to support the current price. Bull and bear cases vary growth, company FCF margin and SBC intensity independently. Forecast SBC includes future normal-course grants; the filed unrecognised schedule alone is not a steady-state forecast.</x:v>
      </x:c>
      <x:c r="F38" s="10" t="str">
        <x:v>Base 2027–28 revenue is anchored near management's $2.3bn+ 2028 target, not the more aggressive growth path required to support the current price. Bull and bear cases vary growth, company FCF margin and SBC intensity independently. Forecast SBC includes future normal-course grants; the filed unrecognised schedule alone is not a steady-state forecast.</x:v>
      </x:c>
      <x:c r="G38" s="10" t="str">
        <x:v>Base 2027–28 revenue is anchored near management's $2.3bn+ 2028 target, not the more aggressive growth path required to support the current price. Bull and bear cases vary growth, company FCF margin and SBC intensity independently. Forecast SBC includes future normal-course grants; the filed unrecognised schedule alone is not a steady-state forecast.</x:v>
      </x:c>
      <x:c r="H38" s="10" t="str">
        <x:v>Base 2027–28 revenue is anchored near management's $2.3bn+ 2028 target, not the more aggressive growth path required to support the current price. Bull and bear cases vary growth, company FCF margin and SBC intensity independently. Forecast SBC includes future normal-course grants; the filed unrecognised schedule alone is not a steady-state forecast.</x:v>
      </x:c>
      <x:c r="I38" s="10" t="str">
        <x:v>Base 2027–28 revenue is anchored near management's $2.3bn+ 2028 target, not the more aggressive growth path required to support the current price. Bull and bear cases vary growth, company FCF margin and SBC intensity independently. Forecast SBC includes future normal-course grants; the filed unrecognised schedule alone is not a steady-state forecast.</x:v>
      </x:c>
      <x:c r="J38" s="10" t="str">
        <x:v>Base 2027–28 revenue is anchored near management's $2.3bn+ 2028 target, not the more aggressive growth path required to support the current price. Bull and bear cases vary growth, company FCF margin and SBC intensity independently. Forecast SBC includes future normal-course grants; the filed unrecognised schedule alone is not a steady-state forecast.</x:v>
      </x:c>
      <x:c r="K38" s="10" t="str">
        <x:v>Base 2027–28 revenue is anchored near management's $2.3bn+ 2028 target, not the more aggressive growth path required to support the current price. Bull and bear cases vary growth, company FCF margin and SBC intensity independently. Forecast SBC includes future normal-course grants; the filed unrecognised schedule alone is not a steady-state forecast.</x:v>
      </x:c>
    </x:row>
    <x:row r="40">
      <x:c r="A40" s="5" t="str">
        <x:v>FCFE financing assumption</x:v>
      </x:c>
      <x:c r="B40" s="5" t="str">
        <x:v>2026E</x:v>
      </x:c>
      <x:c r="C40" s="5" t="str">
        <x:v>2027E</x:v>
      </x:c>
      <x:c r="D40" s="5" t="str">
        <x:v>2028E</x:v>
      </x:c>
      <x:c r="E40" s="5" t="str">
        <x:v>2029E</x:v>
      </x:c>
      <x:c r="F40" s="5" t="str">
        <x:v>2030E</x:v>
      </x:c>
      <x:c r="G40" s="5" t="str">
        <x:v>2031E</x:v>
      </x:c>
      <x:c r="H40" s="5" t="str">
        <x:v>2032E</x:v>
      </x:c>
      <x:c r="I40" s="5" t="str">
        <x:v>2033E</x:v>
      </x:c>
      <x:c r="J40" s="5" t="str">
        <x:v>2034E</x:v>
      </x:c>
      <x:c r="K40" s="5" t="str">
        <x:v>2035E</x:v>
      </x:c>
    </x:row>
    <x:row r="41">
      <x:c r="A41" t="str">
        <x:v>Net borrowing (cash, $m)</x:v>
      </x:c>
      <x:c r="B41" s="19" t="n">
        <x:v>50</x:v>
      </x:c>
      <x:c r="C41" s="19" t="n">
        <x:v>0</x:v>
      </x:c>
      <x:c r="D41" s="19" t="n">
        <x:v>0</x:v>
      </x:c>
      <x:c r="E41" s="19" t="n">
        <x:v>0</x:v>
      </x:c>
      <x:c r="F41" s="19" t="n">
        <x:v>0</x:v>
      </x:c>
      <x:c r="G41" s="19" t="n">
        <x:v>0</x:v>
      </x:c>
      <x:c r="H41" s="19" t="n">
        <x:v>0</x:v>
      </x:c>
      <x:c r="I41" s="19" t="n">
        <x:v>0</x:v>
      </x:c>
      <x:c r="J41" s="19" t="n">
        <x:v>0</x:v>
      </x:c>
      <x:c r="K41" s="19" t="n">
        <x:v>0</x:v>
      </x:c>
    </x:row>
  </x:sheetData>
  <x:mergeCells>
    <x:mergeCell ref="A1:K2"/>
    <x:mergeCell ref="A36:K38"/>
  </x:mergeCells>
  <x:pageMargins left="0.7" right="0.7" top="0.75" bottom="0.75" header="0.3" footer="0.3"/>
  <x:legacyDrawing xmlns:r="http://schemas.openxmlformats.org/officeDocument/2006/relationships" r:id="Rb2920db94f194fef"/>
</x:worksheet>
</file>

<file path=xl/worksheets/sheet3.xml><?xml version="1.0" encoding="utf-8"?>
<x:worksheet xmlns:x="http://schemas.openxmlformats.org/spreadsheetml/2006/main">
  <x:sheetViews>
    <x:sheetView showGridLines="0" workbookViewId="0"/>
  </x:sheetViews>
  <x:sheetFormatPr defaultRowHeight="15"/>
  <x:cols>
    <x:col min="1" max="1" width="3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s>
  <x:sheetData>
    <x:row r="1" ht="28" customHeight="1">
      <x:c r="A1" s="50" t="str">
        <x:v>Historical Financials — Reported and Analyst-Adjusted</x:v>
      </x:c>
      <x:c r="B1" s="51" t="str">
        <x:v>Historical Financials — Reported and Analyst-Adjusted</x:v>
      </x:c>
      <x:c r="C1" s="51" t="str">
        <x:v>Historical Financials — Reported and Analyst-Adjusted</x:v>
      </x:c>
      <x:c r="D1" s="51" t="str">
        <x:v>Historical Financials — Reported and Analyst-Adjusted</x:v>
      </x:c>
      <x:c r="E1" s="51" t="str">
        <x:v>Historical Financials — Reported and Analyst-Adjusted</x:v>
      </x:c>
      <x:c r="F1" s="51" t="str">
        <x:v>Historical Financials — Reported and Analyst-Adjusted</x:v>
      </x:c>
      <x:c r="G1" s="51" t="str">
        <x:v>Historical Financials — Reported and Analyst-Adjusted</x:v>
      </x:c>
      <x:c r="H1" s="51" t="str">
        <x:v>Historical Financials — Reported and Analyst-Adjusted</x:v>
      </x:c>
      <x:c r="I1" s="52" t="str">
        <x:v>Historical Financials — Reported and Analyst-Adjusted</x:v>
      </x:c>
    </x:row>
    <x:row r="2" ht="28" customHeight="1">
      <x:c r="A2" s="53" t="str">
        <x:v>Historical Financials — Reported and Analyst-Adjusted</x:v>
      </x:c>
      <x:c r="B2" s="54" t="str">
        <x:v>Historical Financials — Reported and Analyst-Adjusted</x:v>
      </x:c>
      <x:c r="C2" s="54" t="str">
        <x:v>Historical Financials — Reported and Analyst-Adjusted</x:v>
      </x:c>
      <x:c r="D2" s="54" t="str">
        <x:v>Historical Financials — Reported and Analyst-Adjusted</x:v>
      </x:c>
      <x:c r="E2" s="54" t="str">
        <x:v>Historical Financials — Reported and Analyst-Adjusted</x:v>
      </x:c>
      <x:c r="F2" s="54" t="str">
        <x:v>Historical Financials — Reported and Analyst-Adjusted</x:v>
      </x:c>
      <x:c r="G2" s="54" t="str">
        <x:v>Historical Financials — Reported and Analyst-Adjusted</x:v>
      </x:c>
      <x:c r="H2" s="54" t="str">
        <x:v>Historical Financials — Reported and Analyst-Adjusted</x:v>
      </x:c>
      <x:c r="I2" s="55" t="str">
        <x:v>Historical Financials — Reported and Analyst-Adjusted</x:v>
      </x:c>
    </x:row>
    <x:row r="3">
      <x:c r="A3" s="56"/>
      <x:c r="B3" s="57"/>
      <x:c r="C3" s="57"/>
      <x:c r="D3" s="57"/>
      <x:c r="E3" s="57"/>
      <x:c r="F3" s="57"/>
      <x:c r="G3" s="57"/>
      <x:c r="H3" s="57"/>
      <x:c r="I3" s="58"/>
    </x:row>
    <x:row r="4">
      <x:c r="A4" s="59" t="str">
        <x:v>USD m except per share</x:v>
      </x:c>
      <x:c r="B4" s="60" t="str">
        <x:v>2019A</x:v>
      </x:c>
      <x:c r="C4" s="60" t="str">
        <x:v>2020A</x:v>
      </x:c>
      <x:c r="D4" s="60" t="str">
        <x:v>2021A</x:v>
      </x:c>
      <x:c r="E4" s="60" t="str">
        <x:v>2022A</x:v>
      </x:c>
      <x:c r="F4" s="60" t="str">
        <x:v>2023A</x:v>
      </x:c>
      <x:c r="G4" s="60" t="str">
        <x:v>2024A</x:v>
      </x:c>
      <x:c r="H4" s="60" t="str">
        <x:v>2025A</x:v>
      </x:c>
      <x:c r="I4" s="61" t="str">
        <x:v>2026E</x:v>
      </x:c>
    </x:row>
    <x:row r="5">
      <x:c r="A5" s="62" t="str">
        <x:v>Revenue</x:v>
      </x:c>
      <x:c r="B5" s="63" t="n">
        <x:v>306.051</x:v>
      </x:c>
      <x:c r="C5" s="63" t="n">
        <x:v>368.12</x:v>
      </x:c>
      <x:c r="D5" s="63" t="n">
        <x:v>458.338</x:v>
      </x:c>
      <x:c r="E5" s="63" t="n">
        <x:v>590.961</x:v>
      </x:c>
      <x:c r="F5" s="63" t="n">
        <x:v>728.723</x:v>
      </x:c>
      <x:c r="G5" s="63" t="n">
        <x:v>1005.754</x:v>
      </x:c>
      <x:c r="H5" s="63" t="n">
        <x:v>1304.668</x:v>
      </x:c>
      <x:c r="I5" s="64" t="n">
        <x:v>1818</x:v>
      </x:c>
    </x:row>
    <x:row r="6">
      <x:c r="A6" s="62" t="str">
        <x:v>YoY growth</x:v>
      </x:c>
      <x:c r="B6" s="65"/>
      <x:c r="C6" s="65" t="n">
        <x:f>C5/B5-1</x:f>
        <x:v>0.20280606826966752</x:v>
      </x:c>
      <x:c r="D6" s="65" t="n">
        <x:f>D5/C5-1</x:f>
        <x:v>0.24507769205693797</x:v>
      </x:c>
      <x:c r="E6" s="65" t="n">
        <x:f>E5/D5-1</x:f>
        <x:v>0.289356326553766</x:v>
      </x:c>
      <x:c r="F6" s="65" t="n">
        <x:f>F5/E5-1</x:f>
        <x:v>0.23311521403273638</x:v>
      </x:c>
      <x:c r="G6" s="65" t="n">
        <x:f>G5/F5-1</x:f>
        <x:v>0.3801595393585766</x:v>
      </x:c>
      <x:c r="H6" s="65" t="n">
        <x:f>H5/G5-1</x:f>
        <x:v>0.2972038888237083</x:v>
      </x:c>
      <x:c r="I6" s="66" t="n">
        <x:f>I5/H5-1</x:f>
        <x:v>0.3934579525212545</x:v>
      </x:c>
    </x:row>
    <x:row r="7">
      <x:c r="A7" s="62" t="str">
        <x:v>Cost of revenue ex D&amp;A</x:v>
      </x:c>
      <x:c r="B7" s="63" t="n">
        <x:v>110.385</x:v>
      </x:c>
      <x:c r="C7" s="63" t="n">
        <x:v>148.878</x:v>
      </x:c>
      <x:c r="D7" s="63" t="n">
        <x:v>174.72</x:v>
      </x:c>
      <x:c r="E7" s="63" t="n">
        <x:v>215.466</x:v>
      </x:c>
      <x:c r="F7" s="63" t="n">
        <x:v>274.482</x:v>
      </x:c>
      <x:c r="G7" s="63" t="n">
        <x:v>399.552</x:v>
      </x:c>
      <x:c r="H7" s="63" t="n">
        <x:v>513.587</x:v>
      </x:c>
      <x:c r="I7" s="64"/>
    </x:row>
    <x:row r="8">
      <x:c r="A8" s="62" t="str">
        <x:v>Gross profit</x:v>
      </x:c>
      <x:c r="B8" s="63" t="n">
        <x:f>IF(B7="","",B5-B7)</x:f>
        <x:v>195.666</x:v>
      </x:c>
      <x:c r="C8" s="63" t="n">
        <x:f>IF(C7="","",C5-C7)</x:f>
        <x:v>219.24200000000002</x:v>
      </x:c>
      <x:c r="D8" s="63" t="n">
        <x:f>IF(D7="","",D5-D7)</x:f>
        <x:v>283.61800000000005</x:v>
      </x:c>
      <x:c r="E8" s="63" t="n">
        <x:f>IF(E7="","",E5-E7)</x:f>
        <x:v>375.495</x:v>
      </x:c>
      <x:c r="F8" s="63" t="n">
        <x:f>IF(F7="","",F5-F7)</x:f>
        <x:v>454.24099999999993</x:v>
      </x:c>
      <x:c r="G8" s="63" t="n">
        <x:f>IF(G7="","",G5-G7)</x:f>
        <x:v>606.202</x:v>
      </x:c>
      <x:c r="H8" s="63" t="n">
        <x:f>IF(H7="","",H5-H7)</x:f>
        <x:v>791.0809999999999</x:v>
      </x:c>
      <x:c r="I8" s="64" t="str">
        <x:f>IF(I7="","",I5-I7)</x:f>
      </x:c>
    </x:row>
    <x:row r="9">
      <x:c r="A9" s="62" t="str">
        <x:v>Gross margin</x:v>
      </x:c>
      <x:c r="B9" s="67" t="n">
        <x:f>IF(B8="","",B8/B5)</x:f>
        <x:v>0.6393248184126176</x:v>
      </x:c>
      <x:c r="C9" s="67" t="n">
        <x:f>IF(C8="","",C8/C5)</x:f>
        <x:v>0.5955720960556341</x:v>
      </x:c>
      <x:c r="D9" s="67" t="n">
        <x:f>IF(D8="","",D8/D5)</x:f>
        <x:v>0.6187966086163487</x:v>
      </x:c>
      <x:c r="E9" s="67" t="n">
        <x:f>IF(E8="","",E8/E5)</x:f>
        <x:v>0.6353972597176464</x:v>
      </x:c>
      <x:c r="F9" s="67" t="n">
        <x:f>IF(F8="","",F8/F5)</x:f>
        <x:v>0.6233383603920831</x:v>
      </x:c>
      <x:c r="G9" s="67" t="n">
        <x:f>IF(G8="","",G8/G5)</x:f>
        <x:v>0.602733869315956</x:v>
      </x:c>
      <x:c r="H9" s="67" t="n">
        <x:f>IF(H8="","",H8/H5)</x:f>
        <x:v>0.6063465954557021</x:v>
      </x:c>
      <x:c r="I9" s="66" t="str">
        <x:f>IF(I8="","",I8/I5)</x:f>
      </x:c>
    </x:row>
    <x:row r="10">
      <x:c r="A10" s="62" t="str">
        <x:v>G&amp;A</x:v>
      </x:c>
      <x:c r="B10" s="63" t="n">
        <x:v>73.344</x:v>
      </x:c>
      <x:c r="C10" s="63" t="n">
        <x:v>70.849</x:v>
      </x:c>
      <x:c r="D10" s="63" t="n">
        <x:v>189.606</x:v>
      </x:c>
      <x:c r="E10" s="63" t="n">
        <x:v>213.615</x:v>
      </x:c>
      <x:c r="F10" s="63" t="n">
        <x:v>205.419</x:v>
      </x:c>
      <x:c r="G10" s="63" t="n">
        <x:v>204.595</x:v>
      </x:c>
      <x:c r="H10" s="63" t="n">
        <x:v>233.024</x:v>
      </x:c>
      <x:c r="I10" s="64"/>
    </x:row>
    <x:row r="11">
      <x:c r="A11" s="62" t="str">
        <x:v>Sales &amp; marketing</x:v>
      </x:c>
      <x:c r="B11" s="63" t="n">
        <x:v>69.519</x:v>
      </x:c>
      <x:c r="C11" s="63" t="n">
        <x:v>77.14</x:v>
      </x:c>
      <x:c r="D11" s="63" t="n">
        <x:v>229.343</x:v>
      </x:c>
      <x:c r="E11" s="63" t="n">
        <x:v>299.238</x:v>
      </x:c>
      <x:c r="F11" s="63" t="n">
        <x:v>288.441</x:v>
      </x:c>
      <x:c r="G11" s="63" t="n">
        <x:v>314.514</x:v>
      </x:c>
      <x:c r="H11" s="63" t="n">
        <x:v>340.04</x:v>
      </x:c>
      <x:c r="I11" s="64"/>
    </x:row>
    <x:row r="12">
      <x:c r="A12" s="62" t="str">
        <x:v>R&amp;D</x:v>
      </x:c>
      <x:c r="B12" s="63" t="n">
        <x:v>28.685</x:v>
      </x:c>
      <x:c r="C12" s="63" t="n">
        <x:v>31.772</x:v>
      </x:c>
      <x:c r="D12" s="63" t="n">
        <x:v>64.474</x:v>
      </x:c>
      <x:c r="E12" s="63" t="n">
        <x:v>69.454</x:v>
      </x:c>
      <x:c r="F12" s="63" t="n">
        <x:v>73.869</x:v>
      </x:c>
      <x:c r="G12" s="63" t="n">
        <x:v>90.679</x:v>
      </x:c>
      <x:c r="H12" s="63" t="n">
        <x:v>117.173</x:v>
      </x:c>
      <x:c r="I12" s="64"/>
    </x:row>
    <x:row r="13">
      <x:c r="A13" s="62" t="str">
        <x:v>D&amp;A</x:v>
      </x:c>
      <x:c r="B13" s="63" t="n">
        <x:v>34.34</x:v>
      </x:c>
      <x:c r="C13" s="63" t="n">
        <x:v>40.064</x:v>
      </x:c>
      <x:c r="D13" s="63" t="n">
        <x:v>45.922</x:v>
      </x:c>
      <x:c r="E13" s="63" t="n">
        <x:v>51.878</x:v>
      </x:c>
      <x:c r="F13" s="63" t="n">
        <x:v>51.149</x:v>
      </x:c>
      <x:c r="G13" s="63" t="n">
        <x:v>56.1</x:v>
      </x:c>
      <x:c r="H13" s="63" t="n">
        <x:v>72.039</x:v>
      </x:c>
      <x:c r="I13" s="64" t="n">
        <x:v>95</x:v>
      </x:c>
    </x:row>
    <x:row r="14">
      <x:c r="A14" s="62" t="str">
        <x:v>Acquisition expense</x:v>
      </x:c>
      <x:c r="B14" s="63" t="n">
        <x:v>5.916</x:v>
      </x:c>
      <x:c r="C14" s="63" t="n">
        <x:v>5.402</x:v>
      </x:c>
      <x:c r="D14" s="63" t="n">
        <x:v>1.953</x:v>
      </x:c>
      <x:c r="E14" s="63" t="n">
        <x:v>0.344</x:v>
      </x:c>
      <x:c r="F14" s="63" t="n">
        <x:v>0.203</x:v>
      </x:c>
      <x:c r="G14" s="63" t="n">
        <x:v>8.229</x:v>
      </x:c>
      <x:c r="H14" s="63" t="n">
        <x:v>20.281</x:v>
      </x:c>
      <x:c r="I14" s="64" t="n">
        <x:v>1.666</x:v>
      </x:c>
    </x:row>
    <x:row r="15">
      <x:c r="A15" s="62" t="str">
        <x:v>Restructuring</x:v>
      </x:c>
      <x:c r="B15" s="63" t="n">
        <x:v>1.388</x:v>
      </x:c>
      <x:c r="C15" s="63" t="n">
        <x:v>2.09</x:v>
      </x:c>
      <x:c r="D15" s="63" t="n">
        <x:v>0.727</x:v>
      </x:c>
      <x:c r="E15" s="63" t="n">
        <x:v>0</x:v>
      </x:c>
      <x:c r="F15" s="63" t="n">
        <x:v>2.845</x:v>
      </x:c>
      <x:c r="G15" s="63" t="n">
        <x:v>0</x:v>
      </x:c>
      <x:c r="H15" s="63" t="n">
        <x:v>3.152</x:v>
      </x:c>
      <x:c r="I15" s="64" t="n">
        <x:v>6.752</x:v>
      </x:c>
    </x:row>
    <x:row r="16">
      <x:c r="A16" s="62" t="str">
        <x:v>Operating income / (loss)</x:v>
      </x:c>
      <x:c r="B16" s="63" t="n">
        <x:v>-17.526</x:v>
      </x:c>
      <x:c r="C16" s="63" t="n">
        <x:v>-8.075</x:v>
      </x:c>
      <x:c r="D16" s="63" t="n">
        <x:v>-248.407</x:v>
      </x:c>
      <x:c r="E16" s="63" t="n">
        <x:v>-259.034</x:v>
      </x:c>
      <x:c r="F16" s="63" t="n">
        <x:v>-167.685</x:v>
      </x:c>
      <x:c r="G16" s="63" t="n">
        <x:v>-67.915</x:v>
      </x:c>
      <x:c r="H16" s="63" t="n">
        <x:v>5.372</x:v>
      </x:c>
      <x:c r="I16" s="64"/>
    </x:row>
    <x:row r="17">
      <x:c r="A17" s="62" t="str">
        <x:v>Net income / (loss)</x:v>
      </x:c>
      <x:c r="B17" s="63" t="n">
        <x:v>-38.465</x:v>
      </x:c>
      <x:c r="C17" s="63" t="n">
        <x:v>-53.225</x:v>
      </x:c>
      <x:c r="D17" s="63" t="n">
        <x:v>-249.563</x:v>
      </x:c>
      <x:c r="E17" s="63" t="n">
        <x:v>-279.239</x:v>
      </x:c>
      <x:c r="F17" s="63" t="n">
        <x:v>-187.481</x:v>
      </x:c>
      <x:c r="G17" s="63" t="n">
        <x:v>-69.771</x:v>
      </x:c>
      <x:c r="H17" s="63" t="n">
        <x:v>-31.509</x:v>
      </x:c>
      <x:c r="I17" s="64"/>
    </x:row>
    <x:row r="18">
      <x:c r="A18" s="62" t="str">
        <x:v>Stock-based compensation</x:v>
      </x:c>
      <x:c r="B18" s="63" t="n">
        <x:v>0.216</x:v>
      </x:c>
      <x:c r="C18" s="63" t="n">
        <x:v>0.105</x:v>
      </x:c>
      <x:c r="D18" s="63" t="n">
        <x:v>259.159</x:v>
      </x:c>
      <x:c r="E18" s="63" t="n">
        <x:v>298.992</x:v>
      </x:c>
      <x:c r="F18" s="63" t="n">
        <x:v>242.881</x:v>
      </x:c>
      <x:c r="G18" s="63" t="n">
        <x:v>194.984</x:v>
      </x:c>
      <x:c r="H18" s="63" t="n">
        <x:v>177.821</x:v>
      </x:c>
      <x:c r="I18" s="64" t="n">
        <x:v>200.123</x:v>
      </x:c>
    </x:row>
    <x:row r="19">
      <x:c r="A19" s="62" t="str">
        <x:v>Reported EBITDA</x:v>
      </x:c>
      <x:c r="B19" s="63" t="n">
        <x:f>IF(B16="","",B16+B13)</x:f>
        <x:v>16.814000000000004</x:v>
      </x:c>
      <x:c r="C19" s="63" t="n">
        <x:f>IF(C16="","",C16+C13)</x:f>
        <x:v>31.989</x:v>
      </x:c>
      <x:c r="D19" s="63" t="n">
        <x:f>IF(D16="","",D16+D13)</x:f>
        <x:v>-202.485</x:v>
      </x:c>
      <x:c r="E19" s="63" t="n">
        <x:f>IF(E16="","",E16+E13)</x:f>
        <x:v>-207.156</x:v>
      </x:c>
      <x:c r="F19" s="63" t="n">
        <x:f>IF(F16="","",F16+F13)</x:f>
        <x:v>-116.536</x:v>
      </x:c>
      <x:c r="G19" s="63" t="n">
        <x:f>IF(G16="","",G16+G13)</x:f>
        <x:v>-11.815000000000005</x:v>
      </x:c>
      <x:c r="H19" s="63" t="n">
        <x:f>IF(H16="","",H16+H13)</x:f>
        <x:v>77.411</x:v>
      </x:c>
      <x:c r="I19" s="64" t="str">
        <x:f>IF(I16="","",I16+I13)</x:f>
      </x:c>
    </x:row>
    <x:row r="20">
      <x:c r="A20" s="62" t="str">
        <x:v>Adjusted EBITDA</x:v>
      </x:c>
      <x:c r="B20" s="63" t="n">
        <x:v>24.334</x:v>
      </x:c>
      <x:c r="C20" s="63" t="n">
        <x:v>39.586</x:v>
      </x:c>
      <x:c r="D20" s="63" t="n">
        <x:v>63.255</x:v>
      </x:c>
      <x:c r="E20" s="63" t="n">
        <x:v>92.18</x:v>
      </x:c>
      <x:c r="F20" s="63" t="n">
        <x:v>129.393</x:v>
      </x:c>
      <x:c r="G20" s="63" t="n">
        <x:v>193.022</x:v>
      </x:c>
      <x:c r="H20" s="63" t="n">
        <x:v>278.665</x:v>
      </x:c>
      <x:c r="I20" s="64" t="n">
        <x:v>405.2</x:v>
      </x:c>
    </x:row>
    <x:row r="21">
      <x:c r="A21" s="62" t="str">
        <x:v>Adjusted EBITDA margin</x:v>
      </x:c>
      <x:c r="B21" s="67" t="n">
        <x:f>B20/B5</x:f>
        <x:v>0.07950962421295797</x:v>
      </x:c>
      <x:c r="C21" s="67" t="n">
        <x:f>C20/C5</x:f>
        <x:v>0.10753558622188417</x:v>
      </x:c>
      <x:c r="D21" s="67" t="n">
        <x:f>D20/D5</x:f>
        <x:v>0.138009503903233</x:v>
      </x:c>
      <x:c r="E21" s="67" t="n">
        <x:f>E20/E5</x:f>
        <x:v>0.15598322055093314</x:v>
      </x:c>
      <x:c r="F21" s="67" t="n">
        <x:f>F20/F5</x:f>
        <x:v>0.17756129558144865</x:v>
      </x:c>
      <x:c r="G21" s="67" t="n">
        <x:f>G20/G5</x:f>
        <x:v>0.19191770552242396</x:v>
      </x:c>
      <x:c r="H21" s="67" t="n">
        <x:f>H20/H5</x:f>
        <x:v>0.2135907372603605</x:v>
      </x:c>
      <x:c r="I21" s="66" t="n">
        <x:f>I20/I5</x:f>
        <x:v>0.2228822882288229</x:v>
      </x:c>
    </x:row>
    <x:row r="22">
      <x:c r="A22" s="62" t="str">
        <x:v>CFO</x:v>
      </x:c>
      <x:c r="B22" s="63" t="n">
        <x:v>30.599</x:v>
      </x:c>
      <x:c r="C22" s="63" t="n">
        <x:v>35.539</x:v>
      </x:c>
      <x:c r="D22" s="63" t="n">
        <x:v>44.292</x:v>
      </x:c>
      <x:c r="E22" s="63" t="n">
        <x:v>78.486</x:v>
      </x:c>
      <x:c r="F22" s="63" t="n">
        <x:v>90.523</x:v>
      </x:c>
      <x:c r="G22" s="63" t="n">
        <x:v>133.861</x:v>
      </x:c>
      <x:c r="H22" s="63" t="n">
        <x:v>198.902</x:v>
      </x:c>
      <x:c r="I22" s="64"/>
    </x:row>
    <x:row r="23">
      <x:c r="A23" s="62" t="str">
        <x:v>Capital expenditure</x:v>
      </x:c>
      <x:c r="B23" s="63" t="n">
        <x:v>3.3</x:v>
      </x:c>
      <x:c r="C23" s="63" t="n">
        <x:v>2.249</x:v>
      </x:c>
      <x:c r="D23" s="63" t="n">
        <x:v>9.482</x:v>
      </x:c>
      <x:c r="E23" s="63" t="n">
        <x:v>22.232</x:v>
      </x:c>
      <x:c r="F23" s="63" t="n">
        <x:v>20.483</x:v>
      </x:c>
      <x:c r="G23" s="63" t="n">
        <x:v>25.727</x:v>
      </x:c>
      <x:c r="H23" s="63" t="n">
        <x:v>13.815</x:v>
      </x:c>
      <x:c r="I23" s="64"/>
    </x:row>
    <x:row r="24">
      <x:c r="A24" s="62" t="str">
        <x:v>Website &amp; software development</x:v>
      </x:c>
      <x:c r="B24" s="63" t="n">
        <x:v>19.374</x:v>
      </x:c>
      <x:c r="C24" s="63" t="n">
        <x:v>22.958</x:v>
      </x:c>
      <x:c r="D24" s="63" t="n">
        <x:v>17.274</x:v>
      </x:c>
      <x:c r="E24" s="63" t="n">
        <x:v>17.004</x:v>
      </x:c>
      <x:c r="F24" s="63" t="n">
        <x:v>15.487</x:v>
      </x:c>
      <x:c r="G24" s="63" t="n">
        <x:v>16.04</x:v>
      </x:c>
      <x:c r="H24" s="63" t="n">
        <x:v>20.093</x:v>
      </x:c>
      <x:c r="I24" s="64"/>
    </x:row>
    <x:row r="25">
      <x:c r="A25" s="62" t="str">
        <x:v>FX effect in company FCF</x:v>
      </x:c>
      <x:c r="B25" s="63" t="n">
        <x:v>-0.075</x:v>
      </x:c>
      <x:c r="C25" s="63" t="n">
        <x:v>-0.208</x:v>
      </x:c>
      <x:c r="D25" s="63" t="n">
        <x:v>-0.041</x:v>
      </x:c>
      <x:c r="E25" s="63" t="n">
        <x:v>-0.165</x:v>
      </x:c>
      <x:c r="F25" s="63" t="n">
        <x:v>-0.034</x:v>
      </x:c>
      <x:c r="G25" s="63" t="n">
        <x:v>0.227</x:v>
      </x:c>
      <x:c r="H25" s="63" t="n">
        <x:v>-0.265</x:v>
      </x:c>
      <x:c r="I25" s="64"/>
    </x:row>
    <x:row r="26">
      <x:c r="A26" s="62" t="str">
        <x:v>Company-reported FCF</x:v>
      </x:c>
      <x:c r="B26" s="63" t="n">
        <x:v>7.85</x:v>
      </x:c>
      <x:c r="C26" s="63" t="n">
        <x:v>10.124</x:v>
      </x:c>
      <x:c r="D26" s="63" t="n">
        <x:v>17.495</x:v>
      </x:c>
      <x:c r="E26" s="63" t="n">
        <x:v>39.085</x:v>
      </x:c>
      <x:c r="F26" s="63" t="n">
        <x:v>54.519</x:v>
      </x:c>
      <x:c r="G26" s="63" t="n">
        <x:v>92.321</x:v>
      </x:c>
      <x:c r="H26" s="63" t="n">
        <x:v>164.729</x:v>
      </x:c>
      <x:c r="I26" s="64" t="n">
        <x:v>255.3</x:v>
      </x:c>
    </x:row>
    <x:row r="27">
      <x:c r="A27" s="62" t="str">
        <x:v>Company-reported FCF margin</x:v>
      </x:c>
      <x:c r="B27" s="67" t="n">
        <x:f>B26/B5</x:f>
        <x:v>0.025649319884594398</x:v>
      </x:c>
      <x:c r="C27" s="67" t="n">
        <x:f>C26/C5</x:f>
        <x:v>0.02750190155384114</x:v>
      </x:c>
      <x:c r="D27" s="67" t="n">
        <x:f>D26/D5</x:f>
        <x:v>0.03817052044561001</x:v>
      </x:c>
      <x:c r="E27" s="67" t="n">
        <x:f>E26/E5</x:f>
        <x:v>0.06613803618174464</x:v>
      </x:c>
      <x:c r="F27" s="67" t="n">
        <x:f>F26/F5</x:f>
        <x:v>0.07481443566348256</x:v>
      </x:c>
      <x:c r="G27" s="67" t="n">
        <x:f>G26/G5</x:f>
        <x:v>0.09179282409018508</x:v>
      </x:c>
      <x:c r="H27" s="67" t="n">
        <x:f>H26/H5</x:f>
        <x:v>0.12626124040752132</x:v>
      </x:c>
      <x:c r="I27" s="66" t="n">
        <x:f>I26/I5</x:f>
        <x:v>0.14042904290429042</x:v>
      </x:c>
    </x:row>
    <x:row r="28">
      <x:c r="A28" s="62" t="str">
        <x:v>Net borrowing</x:v>
      </x:c>
      <x:c r="B28" s="63"/>
      <x:c r="C28" s="63"/>
      <x:c r="D28" s="63"/>
      <x:c r="E28" s="63"/>
      <x:c r="F28" s="63" t="n">
        <x:v>0</x:v>
      </x:c>
      <x:c r="G28" s="63" t="n">
        <x:v>11.603</x:v>
      </x:c>
      <x:c r="H28" s="63" t="n">
        <x:v>0</x:v>
      </x:c>
      <x:c r="I28" s="64" t="n">
        <x:v>50</x:v>
      </x:c>
    </x:row>
    <x:row r="29">
      <x:c r="A29" s="62" t="str">
        <x:v>Standard FCFE</x:v>
      </x:c>
      <x:c r="B29" s="63" t="n">
        <x:f>IF(B22="",B26+B28,B22-B23-B24+B28)</x:f>
        <x:v>7.925000000000001</x:v>
      </x:c>
      <x:c r="C29" s="63" t="n">
        <x:f>IF(C22="",C26+C28,C22-C23-C24+C28)</x:f>
        <x:v>10.332</x:v>
      </x:c>
      <x:c r="D29" s="63" t="n">
        <x:f>IF(D22="",D26+D28,D22-D23-D24+D28)</x:f>
        <x:v>17.536</x:v>
      </x:c>
      <x:c r="E29" s="63" t="n">
        <x:f>IF(E22="",E26+E28,E22-E23-E24+E28)</x:f>
        <x:v>39.25</x:v>
      </x:c>
      <x:c r="F29" s="63" t="n">
        <x:f>IF(F22="",F26+F28,F22-F23-F24+F28)</x:f>
        <x:v>54.55299999999999</x:v>
      </x:c>
      <x:c r="G29" s="63" t="n">
        <x:f>IF(G22="",G26+G28,G22-G23-G24+G28)</x:f>
        <x:v>103.69699999999999</x:v>
      </x:c>
      <x:c r="H29" s="63" t="n">
        <x:f>IF(H22="",H26+H28,H22-H23-H24+H28)</x:f>
        <x:v>164.994</x:v>
      </x:c>
      <x:c r="I29" s="64" t="n">
        <x:f>IF(I22="",I26+I28,I22-I23-I24+I28)</x:f>
        <x:v>305.3</x:v>
      </x:c>
    </x:row>
    <x:row r="30">
      <x:c r="A30" s="62" t="str">
        <x:v>Standard FCFE margin</x:v>
      </x:c>
      <x:c r="B30" s="67" t="n">
        <x:f>B29/B5</x:f>
        <x:v>0.02589437708094403</x:v>
      </x:c>
      <x:c r="C30" s="67" t="n">
        <x:f>C29/C5</x:f>
        <x:v>0.028066934695208087</x:v>
      </x:c>
      <x:c r="D30" s="67" t="n">
        <x:f>D29/D5</x:f>
        <x:v>0.03825997408026391</x:v>
      </x:c>
      <x:c r="E30" s="67" t="n">
        <x:f>E29/E5</x:f>
        <x:v>0.06641724242378093</x:v>
      </x:c>
      <x:c r="F30" s="67" t="n">
        <x:f>F29/F5</x:f>
        <x:v>0.07486109262367181</x:v>
      </x:c>
      <x:c r="G30" s="67" t="n">
        <x:f>G29/G5</x:f>
        <x:v>0.10310374107386099</x:v>
      </x:c>
      <x:c r="H30" s="67" t="n">
        <x:f>H29/H5</x:f>
        <x:v>0.1264643572157821</x:v>
      </x:c>
      <x:c r="I30" s="66" t="n">
        <x:f>I29/I5</x:f>
        <x:v>0.16793179317931795</x:v>
      </x:c>
    </x:row>
    <x:row r="31">
      <x:c r="A31" s="62" t="str">
        <x:v>Acquisition cash spending</x:v>
      </x:c>
      <x:c r="B31" s="63"/>
      <x:c r="C31" s="63"/>
      <x:c r="D31" s="63"/>
      <x:c r="E31" s="63"/>
      <x:c r="F31" s="63" t="n">
        <x:v>18.2</x:v>
      </x:c>
      <x:c r="G31" s="63" t="n">
        <x:v>55.8</x:v>
      </x:c>
      <x:c r="H31" s="63" t="n">
        <x:v>90.3</x:v>
      </x:c>
      <x:c r="I31" s="64" t="n">
        <x:v>50.8</x:v>
      </x:c>
    </x:row>
    <x:row r="32">
      <x:c r="A32" s="62" t="str">
        <x:v>Acquisition-liability cash payments</x:v>
      </x:c>
      <x:c r="B32" s="63"/>
      <x:c r="C32" s="63"/>
      <x:c r="D32" s="63"/>
      <x:c r="E32" s="63"/>
      <x:c r="F32" s="63" t="n">
        <x:v>15.5</x:v>
      </x:c>
      <x:c r="G32" s="63" t="n">
        <x:v>7</x:v>
      </x:c>
      <x:c r="H32" s="63" t="n">
        <x:v>6.3</x:v>
      </x:c>
      <x:c r="I32" s="64" t="n">
        <x:v>8.4</x:v>
      </x:c>
    </x:row>
    <x:row r="33">
      <x:c r="A33" s="62" t="str">
        <x:v>FCFE after disclosed acquisition cash</x:v>
      </x:c>
      <x:c r="B33" s="63" t="str">
        <x:f>IF(B31="","",B29-B31-B32)</x:f>
      </x:c>
      <x:c r="C33" s="63" t="str">
        <x:f>IF(C31="","",C29-C31-C32)</x:f>
      </x:c>
      <x:c r="D33" s="63" t="str">
        <x:f>IF(D31="","",D29-D31-D32)</x:f>
      </x:c>
      <x:c r="E33" s="63" t="str">
        <x:f>IF(E31="","",E29-E31-E32)</x:f>
      </x:c>
      <x:c r="F33" s="63" t="n">
        <x:f>IF(F31="","",F29-F31-F32)</x:f>
        <x:v>20.852999999999994</x:v>
      </x:c>
      <x:c r="G33" s="63" t="n">
        <x:f>IF(G31="","",G29-G31-G32)</x:f>
        <x:v>40.89699999999999</x:v>
      </x:c>
      <x:c r="H33" s="63" t="n">
        <x:f>IF(H31="","",H29-H31-H32)</x:f>
        <x:v>68.394</x:v>
      </x:c>
      <x:c r="I33" s="64" t="n">
        <x:f>IF(I31="","",I29-I31-I32)</x:f>
        <x:v>246.1</x:v>
      </x:c>
    </x:row>
    <x:row r="34">
      <x:c r="A34" s="62" t="str">
        <x:v>SBC-adjusted FCF</x:v>
      </x:c>
      <x:c r="B34" s="63" t="n">
        <x:f>B26-B18</x:f>
        <x:v>7.6339999999999995</x:v>
      </x:c>
      <x:c r="C34" s="63" t="n">
        <x:f>C26-C18</x:f>
        <x:v>10.019</x:v>
      </x:c>
      <x:c r="D34" s="63" t="n">
        <x:f>D26-D18</x:f>
        <x:v>-241.664</x:v>
      </x:c>
      <x:c r="E34" s="63" t="n">
        <x:f>E26-E18</x:f>
        <x:v>-259.90700000000004</x:v>
      </x:c>
      <x:c r="F34" s="63" t="n">
        <x:f>F26-F18</x:f>
        <x:v>-188.362</x:v>
      </x:c>
      <x:c r="G34" s="63" t="n">
        <x:f>G26-G18</x:f>
        <x:v>-102.66300000000001</x:v>
      </x:c>
      <x:c r="H34" s="63" t="n">
        <x:f>H26-H18</x:f>
        <x:v>-13.091999999999985</x:v>
      </x:c>
      <x:c r="I34" s="64" t="n">
        <x:f>I26-I18</x:f>
        <x:v>55.17700000000002</x:v>
      </x:c>
    </x:row>
    <x:row r="35">
      <x:c r="A35" s="62" t="str">
        <x:v>SBC-adjusted FCF margin</x:v>
      </x:c>
      <x:c r="B35" s="67" t="n">
        <x:f>B34/B5</x:f>
        <x:v>0.02494355515910747</x:v>
      </x:c>
      <x:c r="C35" s="67" t="n">
        <x:f>C34/C5</x:f>
        <x:v>0.027216668477670326</x:v>
      </x:c>
      <x:c r="D35" s="67" t="n">
        <x:f>D34/D5</x:f>
        <x:v>-0.5272615406097683</x:v>
      </x:c>
      <x:c r="E35" s="67" t="n">
        <x:f>E34/E5</x:f>
        <x:v>-0.43980398029650014</x:v>
      </x:c>
      <x:c r="F35" s="67" t="n">
        <x:f>F34/F5</x:f>
        <x:v>-0.2584823039755847</x:v>
      </x:c>
      <x:c r="G35" s="67" t="n">
        <x:f>G34/G5</x:f>
        <x:v>-0.10207565667151212</x:v>
      </x:c>
      <x:c r="H35" s="67" t="n">
        <x:f>H34/H5</x:f>
        <x:v>-0.010034736806605195</x:v>
      </x:c>
      <x:c r="I35" s="66" t="n">
        <x:f>I34/I5</x:f>
        <x:v>0.03035038503850386</x:v>
      </x:c>
    </x:row>
    <x:row r="36">
      <x:c r="A36" s="62" t="str">
        <x:v>Diluted weighted-average shares</x:v>
      </x:c>
      <x:c r="B36" s="68" t="n">
        <x:v>31.579301</x:v>
      </x:c>
      <x:c r="C36" s="68" t="n">
        <x:v>32.589409</x:v>
      </x:c>
      <x:c r="D36" s="68" t="n">
        <x:v>86.932191</x:v>
      </x:c>
      <x:c r="E36" s="68" t="n">
        <x:v>138.985265</x:v>
      </x:c>
      <x:c r="F36" s="68" t="n">
        <x:v>156.697308</x:v>
      </x:c>
      <x:c r="G36" s="68" t="n">
        <x:v>185.984107</x:v>
      </x:c>
      <x:c r="H36" s="68" t="n">
        <x:v>220.722814</x:v>
      </x:c>
      <x:c r="I36" s="69" t="n">
        <x:v>256.582</x:v>
      </x:c>
    </x:row>
    <x:row r="37">
      <x:c r="A37" s="56"/>
      <x:c r="B37" s="57"/>
      <x:c r="C37" s="57"/>
      <x:c r="D37" s="57"/>
      <x:c r="E37" s="57"/>
      <x:c r="F37" s="57"/>
      <x:c r="G37" s="57"/>
      <x:c r="H37" s="57"/>
      <x:c r="I37" s="58"/>
    </x:row>
    <x:row r="38">
      <x:c r="A38" s="70" t="str">
        <x:v>Standard FCFE is the CFO shortcut: CFO less capital expenditure and capitalised website/software development, plus net borrowing. Company-reported FCF also includes an FX adjustment and excludes acquisitions. Acquisition cash spending and acquisition-liability payments are therefore shown below FCFE as a separate serial-acquirer diagnostic. 2026 acquisition cash is H1 disclosed spending only; 2026 net borrowing is an analyst estimate from the July refinancing, not guidance. 2026 SBC equals H1 expense plus the filed H2 recognition schedule and excludes future grants.</x:v>
      </x:c>
      <x:c r="B38" s="71" t="str">
        <x:v>Standard FCFE is the CFO shortcut: CFO less capital expenditure and capitalised website/software development, plus net borrowing. Company-reported FCF also includes an FX adjustment and excludes acquisitions. Acquisition cash spending and acquisition-liability payments are therefore shown below FCFE as a separate serial-acquirer diagnostic. 2026 acquisition cash is H1 disclosed spending only; 2026 net borrowing is an analyst estimate from the July refinancing, not guidance. 2026 SBC equals H1 expense plus the filed H2 recognition schedule and excludes future grants.</x:v>
      </x:c>
      <x:c r="C38" s="71" t="str">
        <x:v>Standard FCFE is the CFO shortcut: CFO less capital expenditure and capitalised website/software development, plus net borrowing. Company-reported FCF also includes an FX adjustment and excludes acquisitions. Acquisition cash spending and acquisition-liability payments are therefore shown below FCFE as a separate serial-acquirer diagnostic. 2026 acquisition cash is H1 disclosed spending only; 2026 net borrowing is an analyst estimate from the July refinancing, not guidance. 2026 SBC equals H1 expense plus the filed H2 recognition schedule and excludes future grants.</x:v>
      </x:c>
      <x:c r="D38" s="71" t="str">
        <x:v>Standard FCFE is the CFO shortcut: CFO less capital expenditure and capitalised website/software development, plus net borrowing. Company-reported FCF also includes an FX adjustment and excludes acquisitions. Acquisition cash spending and acquisition-liability payments are therefore shown below FCFE as a separate serial-acquirer diagnostic. 2026 acquisition cash is H1 disclosed spending only; 2026 net borrowing is an analyst estimate from the July refinancing, not guidance. 2026 SBC equals H1 expense plus the filed H2 recognition schedule and excludes future grants.</x:v>
      </x:c>
      <x:c r="E38" s="71" t="str">
        <x:v>Standard FCFE is the CFO shortcut: CFO less capital expenditure and capitalised website/software development, plus net borrowing. Company-reported FCF also includes an FX adjustment and excludes acquisitions. Acquisition cash spending and acquisition-liability payments are therefore shown below FCFE as a separate serial-acquirer diagnostic. 2026 acquisition cash is H1 disclosed spending only; 2026 net borrowing is an analyst estimate from the July refinancing, not guidance. 2026 SBC equals H1 expense plus the filed H2 recognition schedule and excludes future grants.</x:v>
      </x:c>
      <x:c r="F38" s="71" t="str">
        <x:v>Standard FCFE is the CFO shortcut: CFO less capital expenditure and capitalised website/software development, plus net borrowing. Company-reported FCF also includes an FX adjustment and excludes acquisitions. Acquisition cash spending and acquisition-liability payments are therefore shown below FCFE as a separate serial-acquirer diagnostic. 2026 acquisition cash is H1 disclosed spending only; 2026 net borrowing is an analyst estimate from the July refinancing, not guidance. 2026 SBC equals H1 expense plus the filed H2 recognition schedule and excludes future grants.</x:v>
      </x:c>
      <x:c r="G38" s="71" t="str">
        <x:v>Standard FCFE is the CFO shortcut: CFO less capital expenditure and capitalised website/software development, plus net borrowing. Company-reported FCF also includes an FX adjustment and excludes acquisitions. Acquisition cash spending and acquisition-liability payments are therefore shown below FCFE as a separate serial-acquirer diagnostic. 2026 acquisition cash is H1 disclosed spending only; 2026 net borrowing is an analyst estimate from the July refinancing, not guidance. 2026 SBC equals H1 expense plus the filed H2 recognition schedule and excludes future grants.</x:v>
      </x:c>
      <x:c r="H38" s="71" t="str">
        <x:v>Standard FCFE is the CFO shortcut: CFO less capital expenditure and capitalised website/software development, plus net borrowing. Company-reported FCF also includes an FX adjustment and excludes acquisitions. Acquisition cash spending and acquisition-liability payments are therefore shown below FCFE as a separate serial-acquirer diagnostic. 2026 acquisition cash is H1 disclosed spending only; 2026 net borrowing is an analyst estimate from the July refinancing, not guidance. 2026 SBC equals H1 expense plus the filed H2 recognition schedule and excludes future grants.</x:v>
      </x:c>
      <x:c r="I38" s="72" t="str">
        <x:v>Standard FCFE is the CFO shortcut: CFO less capital expenditure and capitalised website/software development, plus net borrowing. Company-reported FCF also includes an FX adjustment and excludes acquisitions. Acquisition cash spending and acquisition-liability payments are therefore shown below FCFE as a separate serial-acquirer diagnostic. 2026 acquisition cash is H1 disclosed spending only; 2026 net borrowing is an analyst estimate from the July refinancing, not guidance. 2026 SBC equals H1 expense plus the filed H2 recognition schedule and excludes future grants.</x:v>
      </x:c>
    </x:row>
    <x:row r="39">
      <x:c r="A39" s="70" t="str">
        <x:v>Standard FCFE is the CFO shortcut: CFO less capital expenditure and capitalised website/software development, plus net borrowing. Company-reported FCF also includes an FX adjustment and excludes acquisitions. Acquisition cash spending and acquisition-liability payments are therefore shown below FCFE as a separate serial-acquirer diagnostic. 2026 acquisition cash is H1 disclosed spending only; 2026 net borrowing is an analyst estimate from the July refinancing, not guidance. 2026 SBC equals H1 expense plus the filed H2 recognition schedule and excludes future grants.</x:v>
      </x:c>
      <x:c r="B39" s="71" t="str">
        <x:v>Standard FCFE is the CFO shortcut: CFO less capital expenditure and capitalised website/software development, plus net borrowing. Company-reported FCF also includes an FX adjustment and excludes acquisitions. Acquisition cash spending and acquisition-liability payments are therefore shown below FCFE as a separate serial-acquirer diagnostic. 2026 acquisition cash is H1 disclosed spending only; 2026 net borrowing is an analyst estimate from the July refinancing, not guidance. 2026 SBC equals H1 expense plus the filed H2 recognition schedule and excludes future grants.</x:v>
      </x:c>
      <x:c r="C39" s="71" t="str">
        <x:v>Standard FCFE is the CFO shortcut: CFO less capital expenditure and capitalised website/software development, plus net borrowing. Company-reported FCF also includes an FX adjustment and excludes acquisitions. Acquisition cash spending and acquisition-liability payments are therefore shown below FCFE as a separate serial-acquirer diagnostic. 2026 acquisition cash is H1 disclosed spending only; 2026 net borrowing is an analyst estimate from the July refinancing, not guidance. 2026 SBC equals H1 expense plus the filed H2 recognition schedule and excludes future grants.</x:v>
      </x:c>
      <x:c r="D39" s="71" t="str">
        <x:v>Standard FCFE is the CFO shortcut: CFO less capital expenditure and capitalised website/software development, plus net borrowing. Company-reported FCF also includes an FX adjustment and excludes acquisitions. Acquisition cash spending and acquisition-liability payments are therefore shown below FCFE as a separate serial-acquirer diagnostic. 2026 acquisition cash is H1 disclosed spending only; 2026 net borrowing is an analyst estimate from the July refinancing, not guidance. 2026 SBC equals H1 expense plus the filed H2 recognition schedule and excludes future grants.</x:v>
      </x:c>
      <x:c r="E39" s="71" t="str">
        <x:v>Standard FCFE is the CFO shortcut: CFO less capital expenditure and capitalised website/software development, plus net borrowing. Company-reported FCF also includes an FX adjustment and excludes acquisitions. Acquisition cash spending and acquisition-liability payments are therefore shown below FCFE as a separate serial-acquirer diagnostic. 2026 acquisition cash is H1 disclosed spending only; 2026 net borrowing is an analyst estimate from the July refinancing, not guidance. 2026 SBC equals H1 expense plus the filed H2 recognition schedule and excludes future grants.</x:v>
      </x:c>
      <x:c r="F39" s="71" t="str">
        <x:v>Standard FCFE is the CFO shortcut: CFO less capital expenditure and capitalised website/software development, plus net borrowing. Company-reported FCF also includes an FX adjustment and excludes acquisitions. Acquisition cash spending and acquisition-liability payments are therefore shown below FCFE as a separate serial-acquirer diagnostic. 2026 acquisition cash is H1 disclosed spending only; 2026 net borrowing is an analyst estimate from the July refinancing, not guidance. 2026 SBC equals H1 expense plus the filed H2 recognition schedule and excludes future grants.</x:v>
      </x:c>
      <x:c r="G39" s="71" t="str">
        <x:v>Standard FCFE is the CFO shortcut: CFO less capital expenditure and capitalised website/software development, plus net borrowing. Company-reported FCF also includes an FX adjustment and excludes acquisitions. Acquisition cash spending and acquisition-liability payments are therefore shown below FCFE as a separate serial-acquirer diagnostic. 2026 acquisition cash is H1 disclosed spending only; 2026 net borrowing is an analyst estimate from the July refinancing, not guidance. 2026 SBC equals H1 expense plus the filed H2 recognition schedule and excludes future grants.</x:v>
      </x:c>
      <x:c r="H39" s="71" t="str">
        <x:v>Standard FCFE is the CFO shortcut: CFO less capital expenditure and capitalised website/software development, plus net borrowing. Company-reported FCF also includes an FX adjustment and excludes acquisitions. Acquisition cash spending and acquisition-liability payments are therefore shown below FCFE as a separate serial-acquirer diagnostic. 2026 acquisition cash is H1 disclosed spending only; 2026 net borrowing is an analyst estimate from the July refinancing, not guidance. 2026 SBC equals H1 expense plus the filed H2 recognition schedule and excludes future grants.</x:v>
      </x:c>
      <x:c r="I39" s="72" t="str">
        <x:v>Standard FCFE is the CFO shortcut: CFO less capital expenditure and capitalised website/software development, plus net borrowing. Company-reported FCF also includes an FX adjustment and excludes acquisitions. Acquisition cash spending and acquisition-liability payments are therefore shown below FCFE as a separate serial-acquirer diagnostic. 2026 acquisition cash is H1 disclosed spending only; 2026 net borrowing is an analyst estimate from the July refinancing, not guidance. 2026 SBC equals H1 expense plus the filed H2 recognition schedule and excludes future grants.</x:v>
      </x:c>
    </x:row>
    <x:row r="40">
      <x:c r="A40" s="70" t="str">
        <x:v>Standard FCFE is the CFO shortcut: CFO less capital expenditure and capitalised website/software development, plus net borrowing. Company-reported FCF also includes an FX adjustment and excludes acquisitions. Acquisition cash spending and acquisition-liability payments are therefore shown below FCFE as a separate serial-acquirer diagnostic. 2026 acquisition cash is H1 disclosed spending only; 2026 net borrowing is an analyst estimate from the July refinancing, not guidance. 2026 SBC equals H1 expense plus the filed H2 recognition schedule and excludes future grants.</x:v>
      </x:c>
      <x:c r="B40" s="71" t="str">
        <x:v>Standard FCFE is the CFO shortcut: CFO less capital expenditure and capitalised website/software development, plus net borrowing. Company-reported FCF also includes an FX adjustment and excludes acquisitions. Acquisition cash spending and acquisition-liability payments are therefore shown below FCFE as a separate serial-acquirer diagnostic. 2026 acquisition cash is H1 disclosed spending only; 2026 net borrowing is an analyst estimate from the July refinancing, not guidance. 2026 SBC equals H1 expense plus the filed H2 recognition schedule and excludes future grants.</x:v>
      </x:c>
      <x:c r="C40" s="71" t="str">
        <x:v>Standard FCFE is the CFO shortcut: CFO less capital expenditure and capitalised website/software development, plus net borrowing. Company-reported FCF also includes an FX adjustment and excludes acquisitions. Acquisition cash spending and acquisition-liability payments are therefore shown below FCFE as a separate serial-acquirer diagnostic. 2026 acquisition cash is H1 disclosed spending only; 2026 net borrowing is an analyst estimate from the July refinancing, not guidance. 2026 SBC equals H1 expense plus the filed H2 recognition schedule and excludes future grants.</x:v>
      </x:c>
      <x:c r="D40" s="71" t="str">
        <x:v>Standard FCFE is the CFO shortcut: CFO less capital expenditure and capitalised website/software development, plus net borrowing. Company-reported FCF also includes an FX adjustment and excludes acquisitions. Acquisition cash spending and acquisition-liability payments are therefore shown below FCFE as a separate serial-acquirer diagnostic. 2026 acquisition cash is H1 disclosed spending only; 2026 net borrowing is an analyst estimate from the July refinancing, not guidance. 2026 SBC equals H1 expense plus the filed H2 recognition schedule and excludes future grants.</x:v>
      </x:c>
      <x:c r="E40" s="71" t="str">
        <x:v>Standard FCFE is the CFO shortcut: CFO less capital expenditure and capitalised website/software development, plus net borrowing. Company-reported FCF also includes an FX adjustment and excludes acquisitions. Acquisition cash spending and acquisition-liability payments are therefore shown below FCFE as a separate serial-acquirer diagnostic. 2026 acquisition cash is H1 disclosed spending only; 2026 net borrowing is an analyst estimate from the July refinancing, not guidance. 2026 SBC equals H1 expense plus the filed H2 recognition schedule and excludes future grants.</x:v>
      </x:c>
      <x:c r="F40" s="71" t="str">
        <x:v>Standard FCFE is the CFO shortcut: CFO less capital expenditure and capitalised website/software development, plus net borrowing. Company-reported FCF also includes an FX adjustment and excludes acquisitions. Acquisition cash spending and acquisition-liability payments are therefore shown below FCFE as a separate serial-acquirer diagnostic. 2026 acquisition cash is H1 disclosed spending only; 2026 net borrowing is an analyst estimate from the July refinancing, not guidance. 2026 SBC equals H1 expense plus the filed H2 recognition schedule and excludes future grants.</x:v>
      </x:c>
      <x:c r="G40" s="71" t="str">
        <x:v>Standard FCFE is the CFO shortcut: CFO less capital expenditure and capitalised website/software development, plus net borrowing. Company-reported FCF also includes an FX adjustment and excludes acquisitions. Acquisition cash spending and acquisition-liability payments are therefore shown below FCFE as a separate serial-acquirer diagnostic. 2026 acquisition cash is H1 disclosed spending only; 2026 net borrowing is an analyst estimate from the July refinancing, not guidance. 2026 SBC equals H1 expense plus the filed H2 recognition schedule and excludes future grants.</x:v>
      </x:c>
      <x:c r="H40" s="71" t="str">
        <x:v>Standard FCFE is the CFO shortcut: CFO less capital expenditure and capitalised website/software development, plus net borrowing. Company-reported FCF also includes an FX adjustment and excludes acquisitions. Acquisition cash spending and acquisition-liability payments are therefore shown below FCFE as a separate serial-acquirer diagnostic. 2026 acquisition cash is H1 disclosed spending only; 2026 net borrowing is an analyst estimate from the July refinancing, not guidance. 2026 SBC equals H1 expense plus the filed H2 recognition schedule and excludes future grants.</x:v>
      </x:c>
      <x:c r="I40" s="72" t="str">
        <x:v>Standard FCFE is the CFO shortcut: CFO less capital expenditure and capitalised website/software development, plus net borrowing. Company-reported FCF also includes an FX adjustment and excludes acquisitions. Acquisition cash spending and acquisition-liability payments are therefore shown below FCFE as a separate serial-acquirer diagnostic. 2026 acquisition cash is H1 disclosed spending only; 2026 net borrowing is an analyst estimate from the July refinancing, not guidance. 2026 SBC equals H1 expense plus the filed H2 recognition schedule and excludes future grants.</x:v>
      </x:c>
    </x:row>
    <x:row r="41">
      <x:c r="A41" s="70" t="str">
        <x:v>Standard FCFE is the CFO shortcut: CFO less capital expenditure and capitalised website/software development, plus net borrowing. Company-reported FCF also includes an FX adjustment and excludes acquisitions. Acquisition cash spending and acquisition-liability payments are therefore shown below FCFE as a separate serial-acquirer diagnostic. 2026 acquisition cash is H1 disclosed spending only; 2026 net borrowing is an analyst estimate from the July refinancing, not guidance. 2026 SBC equals H1 expense plus the filed H2 recognition schedule and excludes future grants.</x:v>
      </x:c>
      <x:c r="B41" s="71" t="str">
        <x:v>Standard FCFE is the CFO shortcut: CFO less capital expenditure and capitalised website/software development, plus net borrowing. Company-reported FCF also includes an FX adjustment and excludes acquisitions. Acquisition cash spending and acquisition-liability payments are therefore shown below FCFE as a separate serial-acquirer diagnostic. 2026 acquisition cash is H1 disclosed spending only; 2026 net borrowing is an analyst estimate from the July refinancing, not guidance. 2026 SBC equals H1 expense plus the filed H2 recognition schedule and excludes future grants.</x:v>
      </x:c>
      <x:c r="C41" s="71" t="str">
        <x:v>Standard FCFE is the CFO shortcut: CFO less capital expenditure and capitalised website/software development, plus net borrowing. Company-reported FCF also includes an FX adjustment and excludes acquisitions. Acquisition cash spending and acquisition-liability payments are therefore shown below FCFE as a separate serial-acquirer diagnostic. 2026 acquisition cash is H1 disclosed spending only; 2026 net borrowing is an analyst estimate from the July refinancing, not guidance. 2026 SBC equals H1 expense plus the filed H2 recognition schedule and excludes future grants.</x:v>
      </x:c>
      <x:c r="D41" s="71" t="str">
        <x:v>Standard FCFE is the CFO shortcut: CFO less capital expenditure and capitalised website/software development, plus net borrowing. Company-reported FCF also includes an FX adjustment and excludes acquisitions. Acquisition cash spending and acquisition-liability payments are therefore shown below FCFE as a separate serial-acquirer diagnostic. 2026 acquisition cash is H1 disclosed spending only; 2026 net borrowing is an analyst estimate from the July refinancing, not guidance. 2026 SBC equals H1 expense plus the filed H2 recognition schedule and excludes future grants.</x:v>
      </x:c>
      <x:c r="E41" s="71" t="str">
        <x:v>Standard FCFE is the CFO shortcut: CFO less capital expenditure and capitalised website/software development, plus net borrowing. Company-reported FCF also includes an FX adjustment and excludes acquisitions. Acquisition cash spending and acquisition-liability payments are therefore shown below FCFE as a separate serial-acquirer diagnostic. 2026 acquisition cash is H1 disclosed spending only; 2026 net borrowing is an analyst estimate from the July refinancing, not guidance. 2026 SBC equals H1 expense plus the filed H2 recognition schedule and excludes future grants.</x:v>
      </x:c>
      <x:c r="F41" s="71" t="str">
        <x:v>Standard FCFE is the CFO shortcut: CFO less capital expenditure and capitalised website/software development, plus net borrowing. Company-reported FCF also includes an FX adjustment and excludes acquisitions. Acquisition cash spending and acquisition-liability payments are therefore shown below FCFE as a separate serial-acquirer diagnostic. 2026 acquisition cash is H1 disclosed spending only; 2026 net borrowing is an analyst estimate from the July refinancing, not guidance. 2026 SBC equals H1 expense plus the filed H2 recognition schedule and excludes future grants.</x:v>
      </x:c>
      <x:c r="G41" s="71" t="str">
        <x:v>Standard FCFE is the CFO shortcut: CFO less capital expenditure and capitalised website/software development, plus net borrowing. Company-reported FCF also includes an FX adjustment and excludes acquisitions. Acquisition cash spending and acquisition-liability payments are therefore shown below FCFE as a separate serial-acquirer diagnostic. 2026 acquisition cash is H1 disclosed spending only; 2026 net borrowing is an analyst estimate from the July refinancing, not guidance. 2026 SBC equals H1 expense plus the filed H2 recognition schedule and excludes future grants.</x:v>
      </x:c>
      <x:c r="H41" s="71" t="str">
        <x:v>Standard FCFE is the CFO shortcut: CFO less capital expenditure and capitalised website/software development, plus net borrowing. Company-reported FCF also includes an FX adjustment and excludes acquisitions. Acquisition cash spending and acquisition-liability payments are therefore shown below FCFE as a separate serial-acquirer diagnostic. 2026 acquisition cash is H1 disclosed spending only; 2026 net borrowing is an analyst estimate from the July refinancing, not guidance. 2026 SBC equals H1 expense plus the filed H2 recognition schedule and excludes future grants.</x:v>
      </x:c>
      <x:c r="I41" s="72" t="str">
        <x:v>Standard FCFE is the CFO shortcut: CFO less capital expenditure and capitalised website/software development, plus net borrowing. Company-reported FCF also includes an FX adjustment and excludes acquisitions. Acquisition cash spending and acquisition-liability payments are therefore shown below FCFE as a separate serial-acquirer diagnostic. 2026 acquisition cash is H1 disclosed spending only; 2026 net borrowing is an analyst estimate from the July refinancing, not guidance. 2026 SBC equals H1 expense plus the filed H2 recognition schedule and excludes future grants.</x:v>
      </x:c>
    </x:row>
    <x:row r="42">
      <x:c r="A42" s="73" t="str">
        <x:v>Standard FCFE is the CFO shortcut: CFO less capital expenditure and capitalised website/software development, plus net borrowing. Company-reported FCF also includes an FX adjustment and excludes acquisitions. Acquisition cash spending and acquisition-liability payments are therefore shown below FCFE as a separate serial-acquirer diagnostic. 2026 acquisition cash is H1 disclosed spending only; 2026 net borrowing is an analyst estimate from the July refinancing, not guidance. 2026 SBC equals H1 expense plus the filed H2 recognition schedule and excludes future grants.</x:v>
      </x:c>
      <x:c r="B42" s="74" t="str">
        <x:v>Standard FCFE is the CFO shortcut: CFO less capital expenditure and capitalised website/software development, plus net borrowing. Company-reported FCF also includes an FX adjustment and excludes acquisitions. Acquisition cash spending and acquisition-liability payments are therefore shown below FCFE as a separate serial-acquirer diagnostic. 2026 acquisition cash is H1 disclosed spending only; 2026 net borrowing is an analyst estimate from the July refinancing, not guidance. 2026 SBC equals H1 expense plus the filed H2 recognition schedule and excludes future grants.</x:v>
      </x:c>
      <x:c r="C42" s="74" t="str">
        <x:v>Standard FCFE is the CFO shortcut: CFO less capital expenditure and capitalised website/software development, plus net borrowing. Company-reported FCF also includes an FX adjustment and excludes acquisitions. Acquisition cash spending and acquisition-liability payments are therefore shown below FCFE as a separate serial-acquirer diagnostic. 2026 acquisition cash is H1 disclosed spending only; 2026 net borrowing is an analyst estimate from the July refinancing, not guidance. 2026 SBC equals H1 expense plus the filed H2 recognition schedule and excludes future grants.</x:v>
      </x:c>
      <x:c r="D42" s="74" t="str">
        <x:v>Standard FCFE is the CFO shortcut: CFO less capital expenditure and capitalised website/software development, plus net borrowing. Company-reported FCF also includes an FX adjustment and excludes acquisitions. Acquisition cash spending and acquisition-liability payments are therefore shown below FCFE as a separate serial-acquirer diagnostic. 2026 acquisition cash is H1 disclosed spending only; 2026 net borrowing is an analyst estimate from the July refinancing, not guidance. 2026 SBC equals H1 expense plus the filed H2 recognition schedule and excludes future grants.</x:v>
      </x:c>
      <x:c r="E42" s="74" t="str">
        <x:v>Standard FCFE is the CFO shortcut: CFO less capital expenditure and capitalised website/software development, plus net borrowing. Company-reported FCF also includes an FX adjustment and excludes acquisitions. Acquisition cash spending and acquisition-liability payments are therefore shown below FCFE as a separate serial-acquirer diagnostic. 2026 acquisition cash is H1 disclosed spending only; 2026 net borrowing is an analyst estimate from the July refinancing, not guidance. 2026 SBC equals H1 expense plus the filed H2 recognition schedule and excludes future grants.</x:v>
      </x:c>
      <x:c r="F42" s="74" t="str">
        <x:v>Standard FCFE is the CFO shortcut: CFO less capital expenditure and capitalised website/software development, plus net borrowing. Company-reported FCF also includes an FX adjustment and excludes acquisitions. Acquisition cash spending and acquisition-liability payments are therefore shown below FCFE as a separate serial-acquirer diagnostic. 2026 acquisition cash is H1 disclosed spending only; 2026 net borrowing is an analyst estimate from the July refinancing, not guidance. 2026 SBC equals H1 expense plus the filed H2 recognition schedule and excludes future grants.</x:v>
      </x:c>
      <x:c r="G42" s="74" t="str">
        <x:v>Standard FCFE is the CFO shortcut: CFO less capital expenditure and capitalised website/software development, plus net borrowing. Company-reported FCF also includes an FX adjustment and excludes acquisitions. Acquisition cash spending and acquisition-liability payments are therefore shown below FCFE as a separate serial-acquirer diagnostic. 2026 acquisition cash is H1 disclosed spending only; 2026 net borrowing is an analyst estimate from the July refinancing, not guidance. 2026 SBC equals H1 expense plus the filed H2 recognition schedule and excludes future grants.</x:v>
      </x:c>
      <x:c r="H42" s="74" t="str">
        <x:v>Standard FCFE is the CFO shortcut: CFO less capital expenditure and capitalised website/software development, plus net borrowing. Company-reported FCF also includes an FX adjustment and excludes acquisitions. Acquisition cash spending and acquisition-liability payments are therefore shown below FCFE as a separate serial-acquirer diagnostic. 2026 acquisition cash is H1 disclosed spending only; 2026 net borrowing is an analyst estimate from the July refinancing, not guidance. 2026 SBC equals H1 expense plus the filed H2 recognition schedule and excludes future grants.</x:v>
      </x:c>
      <x:c r="I42" s="75" t="str">
        <x:v>Standard FCFE is the CFO shortcut: CFO less capital expenditure and capitalised website/software development, plus net borrowing. Company-reported FCF also includes an FX adjustment and excludes acquisitions. Acquisition cash spending and acquisition-liability payments are therefore shown below FCFE as a separate serial-acquirer diagnostic. 2026 acquisition cash is H1 disclosed spending only; 2026 net borrowing is an analyst estimate from the July refinancing, not guidance. 2026 SBC equals H1 expense plus the filed H2 recognition schedule and excludes future grants.</x:v>
      </x:c>
    </x:row>
  </x:sheetData>
  <x:mergeCells>
    <x:mergeCell ref="A1:I2"/>
    <x:mergeCell ref="A38:I42"/>
  </x:mergeCell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35" hidden="0" customWidth="1"/>
    <x:col min="2" max="2" width="16" hidden="0" customWidth="1"/>
    <x:col min="3" max="3" width="16" hidden="0" customWidth="1"/>
    <x:col min="4" max="4" width="24"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s>
  <x:sheetData>
    <x:row r="1" ht="28" customHeight="1">
      <x:c r="A1" s="2" t="str">
        <x:v>Operating KPIs and Revenue-Quality Bridge</x:v>
      </x:c>
      <x:c r="B1" s="2" t="str">
        <x:v>Operating KPIs and Revenue-Quality Bridge</x:v>
      </x:c>
      <x:c r="C1" s="2" t="str">
        <x:v>Operating KPIs and Revenue-Quality Bridge</x:v>
      </x:c>
      <x:c r="D1" s="2" t="str">
        <x:v>Operating KPIs and Revenue-Quality Bridge</x:v>
      </x:c>
      <x:c r="E1" s="2" t="str">
        <x:v>Operating KPIs and Revenue-Quality Bridge</x:v>
      </x:c>
      <x:c r="F1" s="2" t="str">
        <x:v>Operating KPIs and Revenue-Quality Bridge</x:v>
      </x:c>
      <x:c r="G1" s="2" t="str">
        <x:v>Operating KPIs and Revenue-Quality Bridge</x:v>
      </x:c>
      <x:c r="H1" s="2" t="str">
        <x:v>Operating KPIs and Revenue-Quality Bridge</x:v>
      </x:c>
      <x:c r="I1" s="2" t="str">
        <x:v>Operating KPIs and Revenue-Quality Bridge</x:v>
      </x:c>
      <x:c r="J1" s="2" t="str">
        <x:v>Operating KPIs and Revenue-Quality Bridge</x:v>
      </x:c>
    </x:row>
    <x:row r="2" ht="28" customHeight="1">
      <x:c r="A2" s="2" t="str">
        <x:v>Operating KPIs and Revenue-Quality Bridge</x:v>
      </x:c>
      <x:c r="B2" s="2" t="str">
        <x:v>Operating KPIs and Revenue-Quality Bridge</x:v>
      </x:c>
      <x:c r="C2" s="2" t="str">
        <x:v>Operating KPIs and Revenue-Quality Bridge</x:v>
      </x:c>
      <x:c r="D2" s="2" t="str">
        <x:v>Operating KPIs and Revenue-Quality Bridge</x:v>
      </x:c>
      <x:c r="E2" s="2" t="str">
        <x:v>Operating KPIs and Revenue-Quality Bridge</x:v>
      </x:c>
      <x:c r="F2" s="2" t="str">
        <x:v>Operating KPIs and Revenue-Quality Bridge</x:v>
      </x:c>
      <x:c r="G2" s="2" t="str">
        <x:v>Operating KPIs and Revenue-Quality Bridge</x:v>
      </x:c>
      <x:c r="H2" s="2" t="str">
        <x:v>Operating KPIs and Revenue-Quality Bridge</x:v>
      </x:c>
      <x:c r="I2" s="2" t="str">
        <x:v>Operating KPIs and Revenue-Quality Bridge</x:v>
      </x:c>
      <x:c r="J2" s="2" t="str">
        <x:v>Operating KPIs and Revenue-Quality Bridge</x:v>
      </x:c>
    </x:row>
    <x:row r="4">
      <x:c r="A4" s="32" t="str">
        <x:v>Super-scaled customer metrics</x:v>
      </x:c>
      <x:c r="B4" s="32" t="str">
        <x:v>Super-scaled customer metrics</x:v>
      </x:c>
      <x:c r="C4" s="32" t="str">
        <x:v>Super-scaled customer metrics</x:v>
      </x:c>
      <x:c r="D4" s="32" t="str">
        <x:v>Super-scaled customer metrics</x:v>
      </x:c>
      <x:c r="E4" s="32" t="str">
        <x:v>Super-scaled customer metrics</x:v>
      </x:c>
      <x:c r="F4" s="32" t="str">
        <x:v>Super-scaled customer metrics</x:v>
      </x:c>
      <x:c r="G4" s="32" t="str">
        <x:v>Super-scaled customer metrics</x:v>
      </x:c>
      <x:c r="H4" s="32" t="str">
        <x:v>Super-scaled customer metrics</x:v>
      </x:c>
      <x:c r="I4" s="32" t="str">
        <x:v>Super-scaled customer metrics</x:v>
      </x:c>
      <x:c r="J4" s="32" t="str">
        <x:v>Super-scaled customer metrics</x:v>
      </x:c>
    </x:row>
    <x:row r="5">
      <x:c r="A5" s="5" t="str">
        <x:v>Quarter</x:v>
      </x:c>
      <x:c r="B5" s="5" t="str">
        <x:v>2Q24</x:v>
      </x:c>
      <x:c r="C5" s="5" t="str">
        <x:v>3Q24</x:v>
      </x:c>
      <x:c r="D5" s="5" t="str">
        <x:v>4Q24</x:v>
      </x:c>
      <x:c r="E5" s="5" t="str">
        <x:v>1Q25</x:v>
      </x:c>
      <x:c r="F5" s="5" t="str">
        <x:v>2Q25</x:v>
      </x:c>
      <x:c r="G5" s="5" t="str">
        <x:v>3Q25</x:v>
      </x:c>
      <x:c r="H5" s="5" t="str">
        <x:v>4Q25</x:v>
      </x:c>
      <x:c r="I5" s="5" t="str">
        <x:v>1Q26</x:v>
      </x:c>
      <x:c r="J5" s="5" t="str">
        <x:v>2Q26</x:v>
      </x:c>
    </x:row>
    <x:row r="6">
      <x:c r="A6" t="str">
        <x:v>Super-scaled customers</x:v>
      </x:c>
      <x:c r="B6" s="12" t="n">
        <x:v>144</x:v>
      </x:c>
      <x:c r="C6" s="12" t="n">
        <x:v>144</x:v>
      </x:c>
      <x:c r="D6" s="12" t="n">
        <x:v>148</x:v>
      </x:c>
      <x:c r="E6" s="12" t="n">
        <x:v>159</x:v>
      </x:c>
      <x:c r="F6" s="12" t="n">
        <x:v>168</x:v>
      </x:c>
      <x:c r="G6" s="12" t="n">
        <x:v>180</x:v>
      </x:c>
      <x:c r="H6" s="12" t="n">
        <x:v>184</x:v>
      </x:c>
      <x:c r="I6" s="12" t="n">
        <x:v>189</x:v>
      </x:c>
      <x:c r="J6" s="12" t="n">
        <x:v>197</x:v>
      </x:c>
    </x:row>
    <x:row r="7">
      <x:c r="A7" t="str">
        <x:v>TTM ARPU ($m)</x:v>
      </x:c>
      <x:c r="B7" s="12" t="n">
        <x:v>1.3</x:v>
      </x:c>
      <x:c r="C7" s="12" t="n">
        <x:v>1.6</x:v>
      </x:c>
      <x:c r="D7" s="12" t="n">
        <x:v>1.7</x:v>
      </x:c>
      <x:c r="E7" s="12" t="n">
        <x:v>1.4</x:v>
      </x:c>
      <x:c r="F7" s="12" t="n">
        <x:v>1.6</x:v>
      </x:c>
      <x:c r="G7" s="12" t="n">
        <x:v>1.6</x:v>
      </x:c>
      <x:c r="H7" s="12" t="n">
        <x:v>1.8</x:v>
      </x:c>
      <x:c r="I7" s="12" t="n">
        <x:v>1.7</x:v>
      </x:c>
      <x:c r="J7" s="12" t="n">
        <x:v>1.8</x:v>
      </x:c>
    </x:row>
    <x:row r="8">
      <x:c r="A8" t="str">
        <x:v>YoY ARPU growth</x:v>
      </x:c>
      <x:c r="B8" s="33" t="n">
        <x:v>0.18</x:v>
      </x:c>
      <x:c r="C8" s="33" t="n">
        <x:v>0.3</x:v>
      </x:c>
      <x:c r="D8" s="33" t="n">
        <x:v>0.31</x:v>
      </x:c>
      <x:c r="E8" s="33" t="n">
        <x:v>0.23</x:v>
      </x:c>
      <x:c r="F8" s="33" t="n">
        <x:v>0.19</x:v>
      </x:c>
      <x:c r="G8" s="33" t="n">
        <x:v>0.01</x:v>
      </x:c>
      <x:c r="H8" s="33" t="n">
        <x:v>0.05</x:v>
      </x:c>
      <x:c r="I8" s="33" t="n">
        <x:v>0.21</x:v>
      </x:c>
      <x:c r="J8" s="33" t="n">
        <x:v>0.17</x:v>
      </x:c>
    </x:row>
    <x:row r="11">
      <x:c r="A11" s="32" t="str">
        <x:v>2026 revenue bridge — company disclosure</x:v>
      </x:c>
      <x:c r="B11" s="32" t="str">
        <x:v>2026 revenue bridge — company disclosure</x:v>
      </x:c>
      <x:c r="C11" s="32" t="str">
        <x:v>2026 revenue bridge — company disclosure</x:v>
      </x:c>
      <x:c r="D11" s="32" t="str">
        <x:v>2026 revenue bridge — company disclosure</x:v>
      </x:c>
      <x:c r="E11" s="32" t="str">
        <x:v>2026 revenue bridge — company disclosure</x:v>
      </x:c>
      <x:c r="F11" s="32" t="str">
        <x:v>2026 revenue bridge — company disclosure</x:v>
      </x:c>
      <x:c r="G11" s="32" t="str">
        <x:v>2026 revenue bridge — company disclosure</x:v>
      </x:c>
      <x:c r="H11" s="32" t="str">
        <x:v>2026 revenue bridge — company disclosure</x:v>
      </x:c>
      <x:c r="I11" s="32" t="str">
        <x:v>2026 revenue bridge — company disclosure</x:v>
      </x:c>
      <x:c r="J11" s="32" t="str">
        <x:v>2026 revenue bridge — company disclosure</x:v>
      </x:c>
    </x:row>
    <x:row r="12">
      <x:c r="A12" s="5" t="str">
        <x:v>USD m</x:v>
      </x:c>
      <x:c r="B12" s="5" t="str">
        <x:v>Q1 2026</x:v>
      </x:c>
      <x:c r="C12" s="5" t="str">
        <x:v>Q2 2026</x:v>
      </x:c>
      <x:c r="D12" s="5" t="str">
        <x:v>Q3 2026E</x:v>
      </x:c>
      <x:c r="E12" s="5" t="str">
        <x:v>Q4 2026E</x:v>
      </x:c>
      <x:c r="F12" s="5" t="str">
        <x:v>FY 2026E</x:v>
      </x:c>
    </x:row>
    <x:row r="13">
      <x:c r="A13" t="str">
        <x:v>Ex-Marigold / political</x:v>
      </x:c>
      <x:c r="B13" s="12" t="n">
        <x:v>341</x:v>
      </x:c>
      <x:c r="C13" s="12" t="n">
        <x:v>395</x:v>
      </x:c>
      <x:c r="D13" s="12" t="n">
        <x:v>416</x:v>
      </x:c>
      <x:c r="E13" s="12" t="n">
        <x:v>453</x:v>
      </x:c>
      <x:c r="F13" s="20" t="n">
        <x:f>SUM(B13:E13)</x:f>
        <x:v>1605</x:v>
      </x:c>
    </x:row>
    <x:row r="14">
      <x:c r="A14" t="str">
        <x:v>Marigold</x:v>
      </x:c>
      <x:c r="B14" s="12" t="n">
        <x:v>55.6</x:v>
      </x:c>
      <x:c r="C14" s="12" t="n">
        <x:v>48.1</x:v>
      </x:c>
      <x:c r="D14" s="12" t="n">
        <x:v>47.5</x:v>
      </x:c>
      <x:c r="E14" s="12" t="n">
        <x:v>47.5</x:v>
      </x:c>
      <x:c r="F14" s="20" t="n">
        <x:f>SUM(B14:E14)</x:f>
        <x:v>198.7</x:v>
      </x:c>
    </x:row>
    <x:row r="15">
      <x:c r="A15" t="str">
        <x:v>Political</x:v>
      </x:c>
      <x:c r="B15" s="12" t="n">
        <x:v>0</x:v>
      </x:c>
      <x:c r="C15" s="12" t="n">
        <x:v>0</x:v>
      </x:c>
      <x:c r="D15" s="12" t="n">
        <x:v>7</x:v>
      </x:c>
      <x:c r="E15" s="12" t="n">
        <x:v>8</x:v>
      </x:c>
      <x:c r="F15" s="20" t="n">
        <x:f>SUM(B15:E15)</x:f>
        <x:v>15</x:v>
      </x:c>
    </x:row>
    <x:row r="16">
      <x:c r="A16" t="str">
        <x:v>Reported revenue</x:v>
      </x:c>
      <x:c r="B16" s="12" t="n">
        <x:v>396</x:v>
      </x:c>
      <x:c r="C16" s="12" t="n">
        <x:v>443</x:v>
      </x:c>
      <x:c r="D16" s="12" t="n">
        <x:v>471</x:v>
      </x:c>
      <x:c r="E16" s="12" t="n">
        <x:v>508</x:v>
      </x:c>
      <x:c r="F16" s="20" t="n">
        <x:f>SUM(B16:E16)</x:f>
        <x:v>1818</x:v>
      </x:c>
    </x:row>
    <x:row r="17">
      <x:c r="A17" t="str">
        <x:v>Ex-M&amp;A / political growth</x:v>
      </x:c>
      <x:c r="B17" s="33" t="n">
        <x:v>0.29</x:v>
      </x:c>
      <x:c r="C17" s="33" t="n">
        <x:v>0.28</x:v>
      </x:c>
      <x:c r="D17" s="33" t="n">
        <x:v>0.23</x:v>
      </x:c>
      <x:c r="E17" s="33" t="n">
        <x:v>0.2</x:v>
      </x:c>
      <x:c r="F17" s="34" t="n">
        <x:v>0.25</x:v>
      </x:c>
    </x:row>
    <x:row r="20">
      <x:c r="A20" s="32" t="str">
        <x:v>Q2 gross-profit upper-bound test</x:v>
      </x:c>
      <x:c r="B20" s="32" t="str">
        <x:v>Q2 gross-profit upper-bound test</x:v>
      </x:c>
      <x:c r="C20" s="32" t="str">
        <x:v>Q2 gross-profit upper-bound test</x:v>
      </x:c>
      <x:c r="D20" s="32" t="str">
        <x:v>Q2 gross-profit upper-bound test</x:v>
      </x:c>
      <x:c r="E20" s="32" t="str">
        <x:v>Q2 gross-profit upper-bound test</x:v>
      </x:c>
      <x:c r="F20" s="32" t="str">
        <x:v>Q2 gross-profit upper-bound test</x:v>
      </x:c>
      <x:c r="G20" s="32" t="str">
        <x:v>Q2 gross-profit upper-bound test</x:v>
      </x:c>
      <x:c r="H20" s="32" t="str">
        <x:v>Q2 gross-profit upper-bound test</x:v>
      </x:c>
      <x:c r="I20" s="32" t="str">
        <x:v>Q2 gross-profit upper-bound test</x:v>
      </x:c>
      <x:c r="J20" s="32" t="str">
        <x:v>Q2 gross-profit upper-bound test</x:v>
      </x:c>
    </x:row>
    <x:row r="21">
      <x:c r="A21" s="5" t="str">
        <x:v>Metric</x:v>
      </x:c>
      <x:c r="B21" s="5" t="str">
        <x:v>Q2 2025</x:v>
      </x:c>
      <x:c r="C21" s="5" t="str">
        <x:v>Q2 2026</x:v>
      </x:c>
      <x:c r="D21" s="5" t="str">
        <x:v>Note</x:v>
      </x:c>
      <x:c r="F21" s="10" t="str">
        <x:v>Interpretation: because management stated Marigold cost of revenue was below 30%, subtracting a full 30% produces the highest possible ex-Marigold gross profit. The result is therefore an upper bound. A lower actual Marigold cost ratio would make underlying Zeta gross profit and margin lower, not higher.</x:v>
      </x:c>
      <x:c r="G21" s="10" t="str">
        <x:v>Interpretation: because management stated Marigold cost of revenue was below 30%, subtracting a full 30% produces the highest possible ex-Marigold gross profit. The result is therefore an upper bound. A lower actual Marigold cost ratio would make underlying Zeta gross profit and margin lower, not higher.</x:v>
      </x:c>
      <x:c r="H21" s="10" t="str">
        <x:v>Interpretation: because management stated Marigold cost of revenue was below 30%, subtracting a full 30% produces the highest possible ex-Marigold gross profit. The result is therefore an upper bound. A lower actual Marigold cost ratio would make underlying Zeta gross profit and margin lower, not higher.</x:v>
      </x:c>
      <x:c r="I21" s="10" t="str">
        <x:v>Interpretation: because management stated Marigold cost of revenue was below 30%, subtracting a full 30% produces the highest possible ex-Marigold gross profit. The result is therefore an upper bound. A lower actual Marigold cost ratio would make underlying Zeta gross profit and margin lower, not higher.</x:v>
      </x:c>
      <x:c r="J21" s="10" t="str">
        <x:v>Interpretation: because management stated Marigold cost of revenue was below 30%, subtracting a full 30% produces the highest possible ex-Marigold gross profit. The result is therefore an upper bound. A lower actual Marigold cost ratio would make underlying Zeta gross profit and margin lower, not higher.</x:v>
      </x:c>
    </x:row>
    <x:row r="22">
      <x:c r="A22" t="str">
        <x:v>Reported revenue</x:v>
      </x:c>
      <x:c r="B22" s="12" t="n">
        <x:v>308.442</x:v>
      </x:c>
      <x:c r="C22" s="12" t="n">
        <x:v>442.766</x:v>
      </x:c>
      <x:c r="D22" t="str">
        <x:v>10-Q</x:v>
      </x:c>
      <x:c r="F22" s="10" t="str">
        <x:v>Interpretation: because management stated Marigold cost of revenue was below 30%, subtracting a full 30% produces the highest possible ex-Marigold gross profit. The result is therefore an upper bound. A lower actual Marigold cost ratio would make underlying Zeta gross profit and margin lower, not higher.</x:v>
      </x:c>
      <x:c r="G22" s="10" t="str">
        <x:v>Interpretation: because management stated Marigold cost of revenue was below 30%, subtracting a full 30% produces the highest possible ex-Marigold gross profit. The result is therefore an upper bound. A lower actual Marigold cost ratio would make underlying Zeta gross profit and margin lower, not higher.</x:v>
      </x:c>
      <x:c r="H22" s="10" t="str">
        <x:v>Interpretation: because management stated Marigold cost of revenue was below 30%, subtracting a full 30% produces the highest possible ex-Marigold gross profit. The result is therefore an upper bound. A lower actual Marigold cost ratio would make underlying Zeta gross profit and margin lower, not higher.</x:v>
      </x:c>
      <x:c r="I22" s="10" t="str">
        <x:v>Interpretation: because management stated Marigold cost of revenue was below 30%, subtracting a full 30% produces the highest possible ex-Marigold gross profit. The result is therefore an upper bound. A lower actual Marigold cost ratio would make underlying Zeta gross profit and margin lower, not higher.</x:v>
      </x:c>
      <x:c r="J22" s="10" t="str">
        <x:v>Interpretation: because management stated Marigold cost of revenue was below 30%, subtracting a full 30% produces the highest possible ex-Marigold gross profit. The result is therefore an upper bound. A lower actual Marigold cost ratio would make underlying Zeta gross profit and margin lower, not higher.</x:v>
      </x:c>
    </x:row>
    <x:row r="23">
      <x:c r="A23" t="str">
        <x:v>Cost of revenue ex D&amp;A</x:v>
      </x:c>
      <x:c r="B23" s="12" t="n">
        <x:v>116.988</x:v>
      </x:c>
      <x:c r="C23" s="12" t="n">
        <x:v>180.997</x:v>
      </x:c>
      <x:c r="D23" t="str">
        <x:v>10-Q</x:v>
      </x:c>
      <x:c r="F23" s="10" t="str">
        <x:v>Interpretation: because management stated Marigold cost of revenue was below 30%, subtracting a full 30% produces the highest possible ex-Marigold gross profit. The result is therefore an upper bound. A lower actual Marigold cost ratio would make underlying Zeta gross profit and margin lower, not higher.</x:v>
      </x:c>
      <x:c r="G23" s="10" t="str">
        <x:v>Interpretation: because management stated Marigold cost of revenue was below 30%, subtracting a full 30% produces the highest possible ex-Marigold gross profit. The result is therefore an upper bound. A lower actual Marigold cost ratio would make underlying Zeta gross profit and margin lower, not higher.</x:v>
      </x:c>
      <x:c r="H23" s="10" t="str">
        <x:v>Interpretation: because management stated Marigold cost of revenue was below 30%, subtracting a full 30% produces the highest possible ex-Marigold gross profit. The result is therefore an upper bound. A lower actual Marigold cost ratio would make underlying Zeta gross profit and margin lower, not higher.</x:v>
      </x:c>
      <x:c r="I23" s="10" t="str">
        <x:v>Interpretation: because management stated Marigold cost of revenue was below 30%, subtracting a full 30% produces the highest possible ex-Marigold gross profit. The result is therefore an upper bound. A lower actual Marigold cost ratio would make underlying Zeta gross profit and margin lower, not higher.</x:v>
      </x:c>
      <x:c r="J23" s="10" t="str">
        <x:v>Interpretation: because management stated Marigold cost of revenue was below 30%, subtracting a full 30% produces the highest possible ex-Marigold gross profit. The result is therefore an upper bound. A lower actual Marigold cost ratio would make underlying Zeta gross profit and margin lower, not higher.</x:v>
      </x:c>
    </x:row>
    <x:row r="24">
      <x:c r="A24" t="str">
        <x:v>Gross profit</x:v>
      </x:c>
      <x:c r="B24" s="20" t="n">
        <x:f>B22-B23</x:f>
        <x:v>191.454</x:v>
      </x:c>
      <x:c r="C24" s="20" t="n">
        <x:f>C22-C23</x:f>
        <x:v>261.769</x:v>
      </x:c>
      <x:c r="D24" t="str">
        <x:v>Calculated</x:v>
      </x:c>
      <x:c r="F24" s="10" t="str">
        <x:v>Interpretation: because management stated Marigold cost of revenue was below 30%, subtracting a full 30% produces the highest possible ex-Marigold gross profit. The result is therefore an upper bound. A lower actual Marigold cost ratio would make underlying Zeta gross profit and margin lower, not higher.</x:v>
      </x:c>
      <x:c r="G24" s="10" t="str">
        <x:v>Interpretation: because management stated Marigold cost of revenue was below 30%, subtracting a full 30% produces the highest possible ex-Marigold gross profit. The result is therefore an upper bound. A lower actual Marigold cost ratio would make underlying Zeta gross profit and margin lower, not higher.</x:v>
      </x:c>
      <x:c r="H24" s="10" t="str">
        <x:v>Interpretation: because management stated Marigold cost of revenue was below 30%, subtracting a full 30% produces the highest possible ex-Marigold gross profit. The result is therefore an upper bound. A lower actual Marigold cost ratio would make underlying Zeta gross profit and margin lower, not higher.</x:v>
      </x:c>
      <x:c r="I24" s="10" t="str">
        <x:v>Interpretation: because management stated Marigold cost of revenue was below 30%, subtracting a full 30% produces the highest possible ex-Marigold gross profit. The result is therefore an upper bound. A lower actual Marigold cost ratio would make underlying Zeta gross profit and margin lower, not higher.</x:v>
      </x:c>
      <x:c r="J24" s="10" t="str">
        <x:v>Interpretation: because management stated Marigold cost of revenue was below 30%, subtracting a full 30% produces the highest possible ex-Marigold gross profit. The result is therefore an upper bound. A lower actual Marigold cost ratio would make underlying Zeta gross profit and margin lower, not higher.</x:v>
      </x:c>
    </x:row>
    <x:row r="25">
      <x:c r="A25" t="str">
        <x:v>Gross margin</x:v>
      </x:c>
      <x:c r="B25" s="25" t="n">
        <x:f>B24/B22</x:f>
        <x:v>0.6207131324527788</x:v>
      </x:c>
      <x:c r="C25" s="25" t="n">
        <x:f>C24/C22</x:f>
        <x:v>0.5912129657652123</x:v>
      </x:c>
      <x:c r="D25" t="str">
        <x:v>Calculated</x:v>
      </x:c>
      <x:c r="F25" s="10" t="str">
        <x:v>Interpretation: because management stated Marigold cost of revenue was below 30%, subtracting a full 30% produces the highest possible ex-Marigold gross profit. The result is therefore an upper bound. A lower actual Marigold cost ratio would make underlying Zeta gross profit and margin lower, not higher.</x:v>
      </x:c>
      <x:c r="G25" s="10" t="str">
        <x:v>Interpretation: because management stated Marigold cost of revenue was below 30%, subtracting a full 30% produces the highest possible ex-Marigold gross profit. The result is therefore an upper bound. A lower actual Marigold cost ratio would make underlying Zeta gross profit and margin lower, not higher.</x:v>
      </x:c>
      <x:c r="H25" s="10" t="str">
        <x:v>Interpretation: because management stated Marigold cost of revenue was below 30%, subtracting a full 30% produces the highest possible ex-Marigold gross profit. The result is therefore an upper bound. A lower actual Marigold cost ratio would make underlying Zeta gross profit and margin lower, not higher.</x:v>
      </x:c>
      <x:c r="I25" s="10" t="str">
        <x:v>Interpretation: because management stated Marigold cost of revenue was below 30%, subtracting a full 30% produces the highest possible ex-Marigold gross profit. The result is therefore an upper bound. A lower actual Marigold cost ratio would make underlying Zeta gross profit and margin lower, not higher.</x:v>
      </x:c>
      <x:c r="J25" s="10" t="str">
        <x:v>Interpretation: because management stated Marigold cost of revenue was below 30%, subtracting a full 30% produces the highest possible ex-Marigold gross profit. The result is therefore an upper bound. A lower actual Marigold cost ratio would make underlying Zeta gross profit and margin lower, not higher.</x:v>
      </x:c>
    </x:row>
    <x:row r="26">
      <x:c r="A26" t="str">
        <x:v>Marigold revenue</x:v>
      </x:c>
      <x:c r="B26" s="20" t="n">
        <x:v>0</x:v>
      </x:c>
      <x:c r="C26" s="12" t="n">
        <x:v>48.161</x:v>
      </x:c>
      <x:c r="D26" t="str">
        <x:v>Company bridge</x:v>
      </x:c>
      <x:c r="F26" s="10" t="str">
        <x:v>Interpretation: because management stated Marigold cost of revenue was below 30%, subtracting a full 30% produces the highest possible ex-Marigold gross profit. The result is therefore an upper bound. A lower actual Marigold cost ratio would make underlying Zeta gross profit and margin lower, not higher.</x:v>
      </x:c>
      <x:c r="G26" s="10" t="str">
        <x:v>Interpretation: because management stated Marigold cost of revenue was below 30%, subtracting a full 30% produces the highest possible ex-Marigold gross profit. The result is therefore an upper bound. A lower actual Marigold cost ratio would make underlying Zeta gross profit and margin lower, not higher.</x:v>
      </x:c>
      <x:c r="H26" s="10" t="str">
        <x:v>Interpretation: because management stated Marigold cost of revenue was below 30%, subtracting a full 30% produces the highest possible ex-Marigold gross profit. The result is therefore an upper bound. A lower actual Marigold cost ratio would make underlying Zeta gross profit and margin lower, not higher.</x:v>
      </x:c>
      <x:c r="I26" s="10" t="str">
        <x:v>Interpretation: because management stated Marigold cost of revenue was below 30%, subtracting a full 30% produces the highest possible ex-Marigold gross profit. The result is therefore an upper bound. A lower actual Marigold cost ratio would make underlying Zeta gross profit and margin lower, not higher.</x:v>
      </x:c>
      <x:c r="J26" s="10" t="str">
        <x:v>Interpretation: because management stated Marigold cost of revenue was below 30%, subtracting a full 30% produces the highest possible ex-Marigold gross profit. The result is therefore an upper bound. A lower actual Marigold cost ratio would make underlying Zeta gross profit and margin lower, not higher.</x:v>
      </x:c>
    </x:row>
    <x:row r="27">
      <x:c r="A27" t="str">
        <x:v>Marigold cost / revenue upper bound</x:v>
      </x:c>
      <x:c r="B27" s="20"/>
      <x:c r="C27" s="13" t="n">
        <x:v>0.3</x:v>
      </x:c>
      <x:c r="D27" t="str">
        <x:v>Investor Day: below 30%</x:v>
      </x:c>
      <x:c r="F27" s="10" t="str">
        <x:v>Interpretation: because management stated Marigold cost of revenue was below 30%, subtracting a full 30% produces the highest possible ex-Marigold gross profit. The result is therefore an upper bound. A lower actual Marigold cost ratio would make underlying Zeta gross profit and margin lower, not higher.</x:v>
      </x:c>
      <x:c r="G27" s="10" t="str">
        <x:v>Interpretation: because management stated Marigold cost of revenue was below 30%, subtracting a full 30% produces the highest possible ex-Marigold gross profit. The result is therefore an upper bound. A lower actual Marigold cost ratio would make underlying Zeta gross profit and margin lower, not higher.</x:v>
      </x:c>
      <x:c r="H27" s="10" t="str">
        <x:v>Interpretation: because management stated Marigold cost of revenue was below 30%, subtracting a full 30% produces the highest possible ex-Marigold gross profit. The result is therefore an upper bound. A lower actual Marigold cost ratio would make underlying Zeta gross profit and margin lower, not higher.</x:v>
      </x:c>
      <x:c r="I27" s="10" t="str">
        <x:v>Interpretation: because management stated Marigold cost of revenue was below 30%, subtracting a full 30% produces the highest possible ex-Marigold gross profit. The result is therefore an upper bound. A lower actual Marigold cost ratio would make underlying Zeta gross profit and margin lower, not higher.</x:v>
      </x:c>
      <x:c r="J27" s="10" t="str">
        <x:v>Interpretation: because management stated Marigold cost of revenue was below 30%, subtracting a full 30% produces the highest possible ex-Marigold gross profit. The result is therefore an upper bound. A lower actual Marigold cost ratio would make underlying Zeta gross profit and margin lower, not higher.</x:v>
      </x:c>
    </x:row>
    <x:row r="28">
      <x:c r="A28" t="str">
        <x:v>Ex-Marigold revenue</x:v>
      </x:c>
      <x:c r="B28" s="20" t="n">
        <x:f>B22-B26</x:f>
        <x:v>308.442</x:v>
      </x:c>
      <x:c r="C28" s="20" t="n">
        <x:f>C22-C26</x:f>
        <x:v>394.605</x:v>
      </x:c>
      <x:c r="D28" t="str">
        <x:v>Calculated</x:v>
      </x:c>
    </x:row>
    <x:row r="29">
      <x:c r="A29" t="str">
        <x:v>Ex-Marigold gross profit upper bound</x:v>
      </x:c>
      <x:c r="B29" s="20" t="n">
        <x:f>B24</x:f>
        <x:v>191.454</x:v>
      </x:c>
      <x:c r="C29" s="20" t="n">
        <x:f>C24-C26*(1-C27)</x:f>
        <x:v>228.05630000000002</x:v>
      </x:c>
      <x:c r="D29" t="str">
        <x:v>Bound, not estimate</x:v>
      </x:c>
    </x:row>
    <x:row r="30">
      <x:c r="A30" t="str">
        <x:v>Ex-Marigold gross margin upper bound</x:v>
      </x:c>
      <x:c r="B30" s="25" t="n">
        <x:f>B29/B28</x:f>
        <x:v>0.6207131324527788</x:v>
      </x:c>
      <x:c r="C30" s="25" t="n">
        <x:f>C29/C28</x:f>
        <x:v>0.5779356571761636</x:v>
      </x:c>
      <x:c r="D30" t="str">
        <x:v>Bound, not estimate</x:v>
      </x:c>
    </x:row>
    <x:row r="31">
      <x:c r="A31" t="str">
        <x:v>Ex-Marigold gross-profit growth upper bound</x:v>
      </x:c>
      <x:c r="B31" s="25"/>
      <x:c r="C31" s="25" t="n">
        <x:f>C29/B29-1</x:f>
        <x:v>0.19118064913765198</x:v>
      </x:c>
      <x:c r="D31" t="str">
        <x:v>Bound, not estimate</x:v>
      </x:c>
    </x:row>
  </x:sheetData>
  <x:mergeCells>
    <x:mergeCell ref="A1:J2"/>
    <x:mergeCell ref="A4:J4"/>
    <x:mergeCell ref="A11:J11"/>
    <x:mergeCell ref="A20:J20"/>
    <x:mergeCell ref="F21:J27"/>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37"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s>
  <x:sheetData>
    <x:row r="1" ht="28" customHeight="1">
      <x:c r="A1" s="50" t="str">
        <x:v>Normalisation — From Company Metrics to Analyst Economics</x:v>
      </x:c>
      <x:c r="B1" s="51" t="str">
        <x:v>Normalisation — From Company Metrics to Analyst Economics</x:v>
      </x:c>
      <x:c r="C1" s="51" t="str">
        <x:v>Normalisation — From Company Metrics to Analyst Economics</x:v>
      </x:c>
      <x:c r="D1" s="51" t="str">
        <x:v>Normalisation — From Company Metrics to Analyst Economics</x:v>
      </x:c>
      <x:c r="E1" s="51" t="str">
        <x:v>Normalisation — From Company Metrics to Analyst Economics</x:v>
      </x:c>
      <x:c r="F1" s="51" t="str">
        <x:v>Normalisation — From Company Metrics to Analyst Economics</x:v>
      </x:c>
      <x:c r="G1" s="51" t="str">
        <x:v>Normalisation — From Company Metrics to Analyst Economics</x:v>
      </x:c>
      <x:c r="H1" s="51" t="str">
        <x:v>Normalisation — From Company Metrics to Analyst Economics</x:v>
      </x:c>
      <x:c r="I1" s="52" t="str">
        <x:v>Normalisation — From Company Metrics to Analyst Economics</x:v>
      </x:c>
    </x:row>
    <x:row r="2" ht="28" customHeight="1">
      <x:c r="A2" s="53" t="str">
        <x:v>Normalisation — From Company Metrics to Analyst Economics</x:v>
      </x:c>
      <x:c r="B2" s="54" t="str">
        <x:v>Normalisation — From Company Metrics to Analyst Economics</x:v>
      </x:c>
      <x:c r="C2" s="54" t="str">
        <x:v>Normalisation — From Company Metrics to Analyst Economics</x:v>
      </x:c>
      <x:c r="D2" s="54" t="str">
        <x:v>Normalisation — From Company Metrics to Analyst Economics</x:v>
      </x:c>
      <x:c r="E2" s="54" t="str">
        <x:v>Normalisation — From Company Metrics to Analyst Economics</x:v>
      </x:c>
      <x:c r="F2" s="54" t="str">
        <x:v>Normalisation — From Company Metrics to Analyst Economics</x:v>
      </x:c>
      <x:c r="G2" s="54" t="str">
        <x:v>Normalisation — From Company Metrics to Analyst Economics</x:v>
      </x:c>
      <x:c r="H2" s="54" t="str">
        <x:v>Normalisation — From Company Metrics to Analyst Economics</x:v>
      </x:c>
      <x:c r="I2" s="55" t="str">
        <x:v>Normalisation — From Company Metrics to Analyst Economics</x:v>
      </x:c>
    </x:row>
    <x:row r="3">
      <x:c r="A3" s="56"/>
      <x:c r="B3" s="57"/>
      <x:c r="C3" s="57"/>
      <x:c r="D3" s="57"/>
      <x:c r="E3" s="57"/>
      <x:c r="F3" s="57"/>
      <x:c r="G3" s="57"/>
      <x:c r="H3" s="57"/>
      <x:c r="I3" s="58"/>
    </x:row>
    <x:row r="4">
      <x:c r="A4" s="59" t="str">
        <x:v>USD m</x:v>
      </x:c>
      <x:c r="B4" s="60" t="str">
        <x:v>2019A</x:v>
      </x:c>
      <x:c r="C4" s="60" t="str">
        <x:v>2020A</x:v>
      </x:c>
      <x:c r="D4" s="60" t="str">
        <x:v>2021A</x:v>
      </x:c>
      <x:c r="E4" s="60" t="str">
        <x:v>2022A</x:v>
      </x:c>
      <x:c r="F4" s="60" t="str">
        <x:v>2023A</x:v>
      </x:c>
      <x:c r="G4" s="60" t="str">
        <x:v>2024A</x:v>
      </x:c>
      <x:c r="H4" s="60" t="str">
        <x:v>2025A</x:v>
      </x:c>
      <x:c r="I4" s="61" t="str">
        <x:v>2026E</x:v>
      </x:c>
    </x:row>
    <x:row r="5">
      <x:c r="A5" s="56" t="str">
        <x:v>Adjusted EBITDA</x:v>
      </x:c>
      <x:c r="B5" s="76" t="n">
        <x:f>'Historical'!B20</x:f>
        <x:v>24.334</x:v>
      </x:c>
      <x:c r="C5" s="76" t="n">
        <x:f>'Historical'!C20</x:f>
        <x:v>39.586</x:v>
      </x:c>
      <x:c r="D5" s="76" t="n">
        <x:f>'Historical'!D20</x:f>
        <x:v>63.255</x:v>
      </x:c>
      <x:c r="E5" s="76" t="n">
        <x:f>'Historical'!E20</x:f>
        <x:v>92.18</x:v>
      </x:c>
      <x:c r="F5" s="76" t="n">
        <x:f>'Historical'!F20</x:f>
        <x:v>129.393</x:v>
      </x:c>
      <x:c r="G5" s="76" t="n">
        <x:f>'Historical'!G20</x:f>
        <x:v>193.022</x:v>
      </x:c>
      <x:c r="H5" s="76" t="n">
        <x:f>'Historical'!H20</x:f>
        <x:v>278.665</x:v>
      </x:c>
      <x:c r="I5" s="77" t="n">
        <x:f>'Historical'!I20</x:f>
        <x:v>405.2</x:v>
      </x:c>
    </x:row>
    <x:row r="6">
      <x:c r="A6" s="56" t="str">
        <x:v>Less: SBC</x:v>
      </x:c>
      <x:c r="B6" s="76" t="n">
        <x:f>'Historical'!B18</x:f>
        <x:v>0.216</x:v>
      </x:c>
      <x:c r="C6" s="76" t="n">
        <x:f>'Historical'!C18</x:f>
        <x:v>0.105</x:v>
      </x:c>
      <x:c r="D6" s="76" t="n">
        <x:f>'Historical'!D18</x:f>
        <x:v>259.159</x:v>
      </x:c>
      <x:c r="E6" s="76" t="n">
        <x:f>'Historical'!E18</x:f>
        <x:v>298.992</x:v>
      </x:c>
      <x:c r="F6" s="76" t="n">
        <x:f>'Historical'!F18</x:f>
        <x:v>242.881</x:v>
      </x:c>
      <x:c r="G6" s="76" t="n">
        <x:f>'Historical'!G18</x:f>
        <x:v>194.984</x:v>
      </x:c>
      <x:c r="H6" s="76" t="n">
        <x:f>'Historical'!H18</x:f>
        <x:v>177.821</x:v>
      </x:c>
      <x:c r="I6" s="77" t="n">
        <x:f>'Historical'!I18</x:f>
        <x:v>200.123</x:v>
      </x:c>
    </x:row>
    <x:row r="7">
      <x:c r="A7" s="56" t="str">
        <x:v>Less: normalised M&amp;A/restructuring</x:v>
      </x:c>
      <x:c r="B7" s="76" t="n">
        <x:f>MAX('Historical'!B14+'Historical'!B15,B5*2.0%)</x:f>
        <x:v>7.304</x:v>
      </x:c>
      <x:c r="C7" s="76" t="n">
        <x:f>MAX('Historical'!C14+'Historical'!C15,C5*2.0%)</x:f>
        <x:v>7.492</x:v>
      </x:c>
      <x:c r="D7" s="76" t="n">
        <x:f>MAX('Historical'!D14+'Historical'!D15,D5*2.0%)</x:f>
        <x:v>2.68</x:v>
      </x:c>
      <x:c r="E7" s="76" t="n">
        <x:f>MAX('Historical'!E14+'Historical'!E15,E5*2.0%)</x:f>
        <x:v>1.8436000000000001</x:v>
      </x:c>
      <x:c r="F7" s="76" t="n">
        <x:f>MAX('Historical'!F14+'Historical'!F15,F5*2.0%)</x:f>
        <x:v>3.048</x:v>
      </x:c>
      <x:c r="G7" s="76" t="n">
        <x:f>MAX('Historical'!G14+'Historical'!G15,G5*2.0%)</x:f>
        <x:v>8.229</x:v>
      </x:c>
      <x:c r="H7" s="76" t="n">
        <x:f>MAX('Historical'!H14+'Historical'!H15,H5*2.0%)</x:f>
        <x:v>23.433</x:v>
      </x:c>
      <x:c r="I7" s="77" t="n">
        <x:f>MAX('Historical'!I14+'Historical'!I15,I5*2.0%)</x:f>
        <x:v>8.418</x:v>
      </x:c>
    </x:row>
    <x:row r="8">
      <x:c r="A8" s="56" t="str">
        <x:v>Normalised EBITDA</x:v>
      </x:c>
      <x:c r="B8" s="76" t="n">
        <x:f>B5-B6-B7</x:f>
        <x:v>16.814</x:v>
      </x:c>
      <x:c r="C8" s="76" t="n">
        <x:f>C5-C6-C7</x:f>
        <x:v>31.989</x:v>
      </x:c>
      <x:c r="D8" s="76" t="n">
        <x:f>D5-D6-D7</x:f>
        <x:v>-198.584</x:v>
      </x:c>
      <x:c r="E8" s="76" t="n">
        <x:f>E5-E6-E7</x:f>
        <x:v>-208.65560000000002</x:v>
      </x:c>
      <x:c r="F8" s="76" t="n">
        <x:f>F5-F6-F7</x:f>
        <x:v>-116.536</x:v>
      </x:c>
      <x:c r="G8" s="76" t="n">
        <x:f>G5-G6-G7</x:f>
        <x:v>-10.191000000000017</x:v>
      </x:c>
      <x:c r="H8" s="76" t="n">
        <x:f>H5-H6-H7</x:f>
        <x:v>77.41100000000003</x:v>
      </x:c>
      <x:c r="I8" s="77" t="n">
        <x:f>I5-I6-I7</x:f>
        <x:v>196.659</x:v>
      </x:c>
    </x:row>
    <x:row r="9">
      <x:c r="A9" s="56" t="str">
        <x:v>Normalised EBITDA margin</x:v>
      </x:c>
      <x:c r="B9" s="78" t="n">
        <x:f>B8/'Historical'!B5</x:f>
        <x:v>0.05493855599230194</x:v>
      </x:c>
      <x:c r="C9" s="78" t="n">
        <x:f>C8/'Historical'!C5</x:f>
        <x:v>0.08689829403455394</x:v>
      </x:c>
      <x:c r="D9" s="78" t="n">
        <x:f>D8/'Historical'!D5</x:f>
        <x:v>-0.4332697703441565</x:v>
      </x:c>
      <x:c r="E9" s="78" t="n">
        <x:f>E8/'Historical'!E5</x:f>
        <x:v>-0.3530784603383303</x:v>
      </x:c>
      <x:c r="F9" s="78" t="n">
        <x:f>F8/'Historical'!F5</x:f>
        <x:v>-0.1599181033122325</x:v>
      </x:c>
      <x:c r="G9" s="78" t="n">
        <x:f>G8/'Historical'!G5</x:f>
        <x:v>-0.010132696464543036</x:v>
      </x:c>
      <x:c r="H9" s="78" t="n">
        <x:f>H8/'Historical'!H5</x:f>
        <x:v>0.059333868846327215</x:v>
      </x:c>
      <x:c r="I9" s="66" t="n">
        <x:f>I8/'Historical'!I5</x:f>
        <x:v>0.10817326732673267</x:v>
      </x:c>
    </x:row>
    <x:row r="10">
      <x:c r="A10" s="56" t="str">
        <x:v>Company-reported FCF</x:v>
      </x:c>
      <x:c r="B10" s="76" t="n">
        <x:f>'Historical'!B26</x:f>
        <x:v>7.85</x:v>
      </x:c>
      <x:c r="C10" s="76" t="n">
        <x:f>'Historical'!C26</x:f>
        <x:v>10.124</x:v>
      </x:c>
      <x:c r="D10" s="76" t="n">
        <x:f>'Historical'!D26</x:f>
        <x:v>17.495</x:v>
      </x:c>
      <x:c r="E10" s="76" t="n">
        <x:f>'Historical'!E26</x:f>
        <x:v>39.085</x:v>
      </x:c>
      <x:c r="F10" s="76" t="n">
        <x:f>'Historical'!F26</x:f>
        <x:v>54.519</x:v>
      </x:c>
      <x:c r="G10" s="76" t="n">
        <x:f>'Historical'!G26</x:f>
        <x:v>92.321</x:v>
      </x:c>
      <x:c r="H10" s="76" t="n">
        <x:f>'Historical'!H26</x:f>
        <x:v>164.729</x:v>
      </x:c>
      <x:c r="I10" s="77" t="n">
        <x:f>'Historical'!I26</x:f>
        <x:v>255.3</x:v>
      </x:c>
    </x:row>
    <x:row r="11">
      <x:c r="A11" s="56" t="str">
        <x:v>Standard FCFE</x:v>
      </x:c>
      <x:c r="B11" s="76" t="n">
        <x:f>'Historical'!B29</x:f>
        <x:v>7.925000000000001</x:v>
      </x:c>
      <x:c r="C11" s="76" t="n">
        <x:f>'Historical'!C29</x:f>
        <x:v>10.332</x:v>
      </x:c>
      <x:c r="D11" s="76" t="n">
        <x:f>'Historical'!D29</x:f>
        <x:v>17.536</x:v>
      </x:c>
      <x:c r="E11" s="76" t="n">
        <x:f>'Historical'!E29</x:f>
        <x:v>39.25</x:v>
      </x:c>
      <x:c r="F11" s="76" t="n">
        <x:f>'Historical'!F29</x:f>
        <x:v>54.55299999999999</x:v>
      </x:c>
      <x:c r="G11" s="76" t="n">
        <x:f>'Historical'!G29</x:f>
        <x:v>103.69699999999999</x:v>
      </x:c>
      <x:c r="H11" s="76" t="n">
        <x:f>'Historical'!H29</x:f>
        <x:v>164.994</x:v>
      </x:c>
      <x:c r="I11" s="77" t="n">
        <x:f>'Historical'!I29</x:f>
        <x:v>305.3</x:v>
      </x:c>
    </x:row>
    <x:row r="12">
      <x:c r="A12" s="56" t="str">
        <x:v>Less: SBC</x:v>
      </x:c>
      <x:c r="B12" s="76" t="n">
        <x:f>B6</x:f>
        <x:v>0.216</x:v>
      </x:c>
      <x:c r="C12" s="76" t="n">
        <x:f>C6</x:f>
        <x:v>0.105</x:v>
      </x:c>
      <x:c r="D12" s="76" t="n">
        <x:f>D6</x:f>
        <x:v>259.159</x:v>
      </x:c>
      <x:c r="E12" s="76" t="n">
        <x:f>E6</x:f>
        <x:v>298.992</x:v>
      </x:c>
      <x:c r="F12" s="76" t="n">
        <x:f>F6</x:f>
        <x:v>242.881</x:v>
      </x:c>
      <x:c r="G12" s="76" t="n">
        <x:f>G6</x:f>
        <x:v>194.984</x:v>
      </x:c>
      <x:c r="H12" s="76" t="n">
        <x:f>H6</x:f>
        <x:v>177.821</x:v>
      </x:c>
      <x:c r="I12" s="77" t="n">
        <x:f>I6</x:f>
        <x:v>200.123</x:v>
      </x:c>
    </x:row>
    <x:row r="13">
      <x:c r="A13" s="56" t="str">
        <x:v>SBC-adjusted FCF</x:v>
      </x:c>
      <x:c r="B13" s="76" t="n">
        <x:f>B10-B12</x:f>
        <x:v>7.6339999999999995</x:v>
      </x:c>
      <x:c r="C13" s="76" t="n">
        <x:f>C10-C12</x:f>
        <x:v>10.019</x:v>
      </x:c>
      <x:c r="D13" s="76" t="n">
        <x:f>D10-D12</x:f>
        <x:v>-241.664</x:v>
      </x:c>
      <x:c r="E13" s="76" t="n">
        <x:f>E10-E12</x:f>
        <x:v>-259.90700000000004</x:v>
      </x:c>
      <x:c r="F13" s="76" t="n">
        <x:f>F10-F12</x:f>
        <x:v>-188.362</x:v>
      </x:c>
      <x:c r="G13" s="76" t="n">
        <x:f>G10-G12</x:f>
        <x:v>-102.66300000000001</x:v>
      </x:c>
      <x:c r="H13" s="76" t="n">
        <x:f>H10-H12</x:f>
        <x:v>-13.091999999999985</x:v>
      </x:c>
      <x:c r="I13" s="77" t="n">
        <x:f>I10-I12</x:f>
        <x:v>55.17700000000002</x:v>
      </x:c>
    </x:row>
    <x:row r="14">
      <x:c r="A14" s="56" t="str">
        <x:v>SBC-adjusted FCF margin</x:v>
      </x:c>
      <x:c r="B14" s="78" t="n">
        <x:f>B13/'Historical'!B5</x:f>
        <x:v>0.02494355515910747</x:v>
      </x:c>
      <x:c r="C14" s="78" t="n">
        <x:f>C13/'Historical'!C5</x:f>
        <x:v>0.027216668477670326</x:v>
      </x:c>
      <x:c r="D14" s="78" t="n">
        <x:f>D13/'Historical'!D5</x:f>
        <x:v>-0.5272615406097683</x:v>
      </x:c>
      <x:c r="E14" s="78" t="n">
        <x:f>E13/'Historical'!E5</x:f>
        <x:v>-0.43980398029650014</x:v>
      </x:c>
      <x:c r="F14" s="78" t="n">
        <x:f>F13/'Historical'!F5</x:f>
        <x:v>-0.2584823039755847</x:v>
      </x:c>
      <x:c r="G14" s="78" t="n">
        <x:f>G13/'Historical'!G5</x:f>
        <x:v>-0.10207565667151212</x:v>
      </x:c>
      <x:c r="H14" s="78" t="n">
        <x:f>H13/'Historical'!H5</x:f>
        <x:v>-0.010034736806605195</x:v>
      </x:c>
      <x:c r="I14" s="66" t="n">
        <x:f>I13/'Historical'!I5</x:f>
        <x:v>0.03035038503850386</x:v>
      </x:c>
    </x:row>
    <x:row r="15">
      <x:c r="A15" s="56" t="str">
        <x:v>FCFE after disclosed acquisition cash</x:v>
      </x:c>
      <x:c r="B15" s="76" t="str">
        <x:f>'Historical'!B33</x:f>
      </x:c>
      <x:c r="C15" s="76" t="str">
        <x:f>'Historical'!C33</x:f>
      </x:c>
      <x:c r="D15" s="76" t="str">
        <x:f>'Historical'!D33</x:f>
      </x:c>
      <x:c r="E15" s="76" t="str">
        <x:f>'Historical'!E33</x:f>
      </x:c>
      <x:c r="F15" s="76" t="n">
        <x:f>'Historical'!F33</x:f>
        <x:v>20.852999999999994</x:v>
      </x:c>
      <x:c r="G15" s="76" t="n">
        <x:f>'Historical'!G33</x:f>
        <x:v>40.89699999999999</x:v>
      </x:c>
      <x:c r="H15" s="76" t="n">
        <x:f>'Historical'!H33</x:f>
        <x:v>68.394</x:v>
      </x:c>
      <x:c r="I15" s="77" t="n">
        <x:f>'Historical'!I33</x:f>
        <x:v>246.1</x:v>
      </x:c>
    </x:row>
    <x:row r="16">
      <x:c r="A16" s="56" t="str">
        <x:v>Current/weighted diluted shares</x:v>
      </x:c>
      <x:c r="B16" s="76" t="n">
        <x:f>'Historical'!B36</x:f>
        <x:v>31.579301</x:v>
      </x:c>
      <x:c r="C16" s="76" t="n">
        <x:f>'Historical'!C36</x:f>
        <x:v>32.589409</x:v>
      </x:c>
      <x:c r="D16" s="76" t="n">
        <x:f>'Historical'!D36</x:f>
        <x:v>86.932191</x:v>
      </x:c>
      <x:c r="E16" s="76" t="n">
        <x:f>'Historical'!E36</x:f>
        <x:v>138.985265</x:v>
      </x:c>
      <x:c r="F16" s="76" t="n">
        <x:f>'Historical'!F36</x:f>
        <x:v>156.697308</x:v>
      </x:c>
      <x:c r="G16" s="76" t="n">
        <x:f>'Historical'!G36</x:f>
        <x:v>185.984107</x:v>
      </x:c>
      <x:c r="H16" s="76" t="n">
        <x:f>'Historical'!H36</x:f>
        <x:v>220.722814</x:v>
      </x:c>
      <x:c r="I16" s="77" t="n">
        <x:f>'Historical'!I36</x:f>
        <x:v>256.582</x:v>
      </x:c>
    </x:row>
    <x:row r="17">
      <x:c r="A17" s="56" t="str">
        <x:v>Company FCF / diluted share</x:v>
      </x:c>
      <x:c r="B17" s="79" t="n">
        <x:f>B10/B16</x:f>
        <x:v>0.2485805496454782</x:v>
      </x:c>
      <x:c r="C17" s="79" t="n">
        <x:f>C10/C16</x:f>
        <x:v>0.31065307137051795</x:v>
      </x:c>
      <x:c r="D17" s="79" t="n">
        <x:f>D10/D16</x:f>
        <x:v>0.20124881012144283</x:v>
      </x:c>
      <x:c r="E17" s="79" t="n">
        <x:f>E10/E16</x:f>
        <x:v>0.2812168613701604</x:v>
      </x:c>
      <x:c r="F17" s="79" t="n">
        <x:f>F10/F16</x:f>
        <x:v>0.3479255687021758</x:v>
      </x:c>
      <x:c r="G17" s="79" t="n">
        <x:f>G10/G16</x:f>
        <x:v>0.49639187718335526</x:v>
      </x:c>
      <x:c r="H17" s="79" t="n">
        <x:f>H10/H16</x:f>
        <x:v>0.7463161465493097</x:v>
      </x:c>
      <x:c r="I17" s="80" t="n">
        <x:f>I10/I16</x:f>
        <x:v>0.995003546624471</x:v>
      </x:c>
    </x:row>
    <x:row r="18">
      <x:c r="A18" s="56" t="str">
        <x:v>Standard FCFE / diluted share</x:v>
      </x:c>
      <x:c r="B18" s="79" t="n">
        <x:f>B11/B16</x:f>
        <x:v>0.2509555230497344</x:v>
      </x:c>
      <x:c r="C18" s="79" t="n">
        <x:f>C11/C16</x:f>
        <x:v>0.31703551297907856</x:v>
      </x:c>
      <x:c r="D18" s="79" t="n">
        <x:f>D11/D16</x:f>
        <x:v>0.20172044208571713</x:v>
      </x:c>
      <x:c r="E18" s="79" t="n">
        <x:f>E11/E16</x:f>
        <x:v>0.28240403757909155</x:v>
      </x:c>
      <x:c r="F18" s="79" t="n">
        <x:f>F11/F16</x:f>
        <x:v>0.3481425475414038</x:v>
      </x:c>
      <x:c r="G18" s="79" t="n">
        <x:f>G11/G16</x:f>
        <x:v>0.5575583939545974</x:v>
      </x:c>
      <x:c r="H18" s="79" t="n">
        <x:f>H11/H16</x:f>
        <x:v>0.747516747407905</x:v>
      </x:c>
      <x:c r="I18" s="80" t="n">
        <x:f>I11/I16</x:f>
        <x:v>1.1898730230491616</x:v>
      </x:c>
    </x:row>
    <x:row r="19">
      <x:c r="A19" s="56" t="str">
        <x:v>SBC-adjusted FCF / diluted share</x:v>
      </x:c>
      <x:c r="B19" s="79" t="n">
        <x:f>B13/B16</x:f>
        <x:v>0.24174062624122045</x:v>
      </x:c>
      <x:c r="C19" s="79" t="n">
        <x:f>C13/C16</x:f>
        <x:v>0.30743116575081186</x:v>
      </x:c>
      <x:c r="D19" s="79" t="n">
        <x:f>D13/D16</x:f>
        <x:v>-2.7799138296192254</x:v>
      </x:c>
      <x:c r="E19" s="79" t="n">
        <x:f>E13/E16</x:f>
        <x:v>-1.87003276930112</x:v>
      </x:c>
      <x:c r="F19" s="79" t="n">
        <x:f>F13/F16</x:f>
        <x:v>-1.2020755327845198</x:v>
      </x:c>
      <x:c r="G19" s="79" t="n">
        <x:f>G13/G16</x:f>
        <x:v>-0.5519987791214871</x:v>
      </x:c>
      <x:c r="H19" s="79" t="n">
        <x:f>H13/H16</x:f>
        <x:v>-0.05931421298389203</x:v>
      </x:c>
      <x:c r="I19" s="80" t="n">
        <x:f>I13/I16</x:f>
        <x:v>0.2150462620137033</x:v>
      </x:c>
    </x:row>
    <x:row r="20">
      <x:c r="A20" s="56" t="str">
        <x:v>Reported Rule of X</x:v>
      </x:c>
      <x:c r="B20" s="81" t="n">
        <x:f>'Historical'!B6+'Historical'!B21</x:f>
        <x:v>0.07950962421295797</x:v>
      </x:c>
      <x:c r="C20" s="81" t="n">
        <x:f>'Historical'!C6+'Historical'!C21</x:f>
        <x:v>0.3103416544915517</x:v>
      </x:c>
      <x:c r="D20" s="81" t="n">
        <x:f>'Historical'!D6+'Historical'!D21</x:f>
        <x:v>0.38308719596017093</x:v>
      </x:c>
      <x:c r="E20" s="81" t="n">
        <x:f>'Historical'!E6+'Historical'!E21</x:f>
        <x:v>0.44533954710469914</x:v>
      </x:c>
      <x:c r="F20" s="81" t="n">
        <x:f>'Historical'!F6+'Historical'!F21</x:f>
        <x:v>0.410676509614185</x:v>
      </x:c>
      <x:c r="G20" s="81" t="n">
        <x:f>'Historical'!G6+'Historical'!G21</x:f>
        <x:v>0.5720772448810005</x:v>
      </x:c>
      <x:c r="H20" s="81" t="n">
        <x:f>'Historical'!H6+'Historical'!H21</x:f>
        <x:v>0.5107946260840688</x:v>
      </x:c>
      <x:c r="I20" s="69" t="n">
        <x:f>'Historical'!I6+'Historical'!I21</x:f>
        <x:v>0.6163402407500773</x:v>
      </x:c>
    </x:row>
    <x:row r="21">
      <x:c r="A21" s="56" t="str">
        <x:v>Clean Rule of X</x:v>
      </x:c>
      <x:c r="B21" s="81" t="n">
        <x:f>'Historical'!B6+B9</x:f>
        <x:v>0.05493855599230194</x:v>
      </x:c>
      <x:c r="C21" s="81" t="n">
        <x:f>'Historical'!C6+C9</x:f>
        <x:v>0.2897043623042215</x:v>
      </x:c>
      <x:c r="D21" s="81" t="n">
        <x:f>'Historical'!D6+D9</x:f>
        <x:v>-0.1881920782872185</x:v>
      </x:c>
      <x:c r="E21" s="81" t="n">
        <x:f>'Historical'!E6+E9</x:f>
        <x:v>-0.06372213378456432</x:v>
      </x:c>
      <x:c r="F21" s="81" t="n">
        <x:f>'Historical'!F6+F9</x:f>
        <x:v>0.07319711072050389</x:v>
      </x:c>
      <x:c r="G21" s="81" t="n">
        <x:f>'Historical'!G6+G9</x:f>
        <x:v>0.3700268428940336</x:v>
      </x:c>
      <x:c r="H21" s="81" t="n">
        <x:f>'Historical'!H6+H9</x:f>
        <x:v>0.3565377576700355</x:v>
      </x:c>
      <x:c r="I21" s="69" t="n">
        <x:f>'Historical'!I6+I9</x:f>
        <x:v>0.5016312198479872</x:v>
      </x:c>
    </x:row>
    <x:row r="22">
      <x:c r="A22" s="56" t="str">
        <x:v>Warning</x:v>
      </x:c>
      <x:c r="B22" s="76" t="str">
        <x:f>IF(B13&lt;0,"Negative","")</x:f>
      </x:c>
      <x:c r="C22" s="76" t="str">
        <x:f>IF(C13&lt;0,"Negative","")</x:f>
      </x:c>
      <x:c r="D22" s="76" t="str">
        <x:f>IF(D13&lt;0,"Negative","")</x:f>
        <x:v>Negative</x:v>
      </x:c>
      <x:c r="E22" s="76" t="str">
        <x:f>IF(E13&lt;0,"Negative","")</x:f>
        <x:v>Negative</x:v>
      </x:c>
      <x:c r="F22" s="76" t="str">
        <x:f>IF(F13&lt;0,"Negative","")</x:f>
        <x:v>Negative</x:v>
      </x:c>
      <x:c r="G22" s="76" t="str">
        <x:f>IF(G13&lt;0,"Negative","")</x:f>
        <x:v>Negative</x:v>
      </x:c>
      <x:c r="H22" s="76" t="str">
        <x:f>IF(H13&lt;0,"Negative","")</x:f>
        <x:v>Negative</x:v>
      </x:c>
      <x:c r="I22" s="77" t="str">
        <x:f>IF(I13&lt;0,"Negative","")</x:f>
      </x:c>
    </x:row>
    <x:row r="23">
      <x:c r="A23" s="56"/>
      <x:c r="B23" s="57"/>
      <x:c r="C23" s="57"/>
      <x:c r="D23" s="57"/>
      <x:c r="E23" s="57"/>
      <x:c r="F23" s="57"/>
      <x:c r="G23" s="57"/>
      <x:c r="H23" s="57"/>
      <x:c r="I23" s="58"/>
    </x:row>
    <x:row r="24">
      <x:c r="A24" s="70" t="str">
        <x:v>Company-reported FCF is Zeta's non-GAAP measure. Standard FCFE uses CFO less capital expenditure and capitalised software plus net borrowing. SBC-adjusted FCF is an analyst diagnostic that subtracts SBC from company FCF; it is paired with current shares in the primary DCF. The dilution-only cross-check instead uses standard FCFE and forecast diluted shares, without deducting SBC. FCFE after disclosed acquisition cash highlights that textbook FCFE excludes acquisition spending. Normalised M&amp;A/restructuring retains the greater of actual charges and 2% of adjusted EBITDA because serial acquisition and integration activity is part of Zeta's observed model.</x:v>
      </x:c>
      <x:c r="B24" s="71" t="str">
        <x:v>Company-reported FCF is Zeta's non-GAAP measure. Standard FCFE uses CFO less capital expenditure and capitalised software plus net borrowing. SBC-adjusted FCF is an analyst diagnostic that subtracts SBC from company FCF; it is paired with current shares in the primary DCF. The dilution-only cross-check instead uses standard FCFE and forecast diluted shares, without deducting SBC. FCFE after disclosed acquisition cash highlights that textbook FCFE excludes acquisition spending. Normalised M&amp;A/restructuring retains the greater of actual charges and 2% of adjusted EBITDA because serial acquisition and integration activity is part of Zeta's observed model.</x:v>
      </x:c>
      <x:c r="C24" s="71" t="str">
        <x:v>Company-reported FCF is Zeta's non-GAAP measure. Standard FCFE uses CFO less capital expenditure and capitalised software plus net borrowing. SBC-adjusted FCF is an analyst diagnostic that subtracts SBC from company FCF; it is paired with current shares in the primary DCF. The dilution-only cross-check instead uses standard FCFE and forecast diluted shares, without deducting SBC. FCFE after disclosed acquisition cash highlights that textbook FCFE excludes acquisition spending. Normalised M&amp;A/restructuring retains the greater of actual charges and 2% of adjusted EBITDA because serial acquisition and integration activity is part of Zeta's observed model.</x:v>
      </x:c>
      <x:c r="D24" s="71" t="str">
        <x:v>Company-reported FCF is Zeta's non-GAAP measure. Standard FCFE uses CFO less capital expenditure and capitalised software plus net borrowing. SBC-adjusted FCF is an analyst diagnostic that subtracts SBC from company FCF; it is paired with current shares in the primary DCF. The dilution-only cross-check instead uses standard FCFE and forecast diluted shares, without deducting SBC. FCFE after disclosed acquisition cash highlights that textbook FCFE excludes acquisition spending. Normalised M&amp;A/restructuring retains the greater of actual charges and 2% of adjusted EBITDA because serial acquisition and integration activity is part of Zeta's observed model.</x:v>
      </x:c>
      <x:c r="E24" s="71" t="str">
        <x:v>Company-reported FCF is Zeta's non-GAAP measure. Standard FCFE uses CFO less capital expenditure and capitalised software plus net borrowing. SBC-adjusted FCF is an analyst diagnostic that subtracts SBC from company FCF; it is paired with current shares in the primary DCF. The dilution-only cross-check instead uses standard FCFE and forecast diluted shares, without deducting SBC. FCFE after disclosed acquisition cash highlights that textbook FCFE excludes acquisition spending. Normalised M&amp;A/restructuring retains the greater of actual charges and 2% of adjusted EBITDA because serial acquisition and integration activity is part of Zeta's observed model.</x:v>
      </x:c>
      <x:c r="F24" s="71" t="str">
        <x:v>Company-reported FCF is Zeta's non-GAAP measure. Standard FCFE uses CFO less capital expenditure and capitalised software plus net borrowing. SBC-adjusted FCF is an analyst diagnostic that subtracts SBC from company FCF; it is paired with current shares in the primary DCF. The dilution-only cross-check instead uses standard FCFE and forecast diluted shares, without deducting SBC. FCFE after disclosed acquisition cash highlights that textbook FCFE excludes acquisition spending. Normalised M&amp;A/restructuring retains the greater of actual charges and 2% of adjusted EBITDA because serial acquisition and integration activity is part of Zeta's observed model.</x:v>
      </x:c>
      <x:c r="G24" s="71" t="str">
        <x:v>Company-reported FCF is Zeta's non-GAAP measure. Standard FCFE uses CFO less capital expenditure and capitalised software plus net borrowing. SBC-adjusted FCF is an analyst diagnostic that subtracts SBC from company FCF; it is paired with current shares in the primary DCF. The dilution-only cross-check instead uses standard FCFE and forecast diluted shares, without deducting SBC. FCFE after disclosed acquisition cash highlights that textbook FCFE excludes acquisition spending. Normalised M&amp;A/restructuring retains the greater of actual charges and 2% of adjusted EBITDA because serial acquisition and integration activity is part of Zeta's observed model.</x:v>
      </x:c>
      <x:c r="H24" s="71" t="str">
        <x:v>Company-reported FCF is Zeta's non-GAAP measure. Standard FCFE uses CFO less capital expenditure and capitalised software plus net borrowing. SBC-adjusted FCF is an analyst diagnostic that subtracts SBC from company FCF; it is paired with current shares in the primary DCF. The dilution-only cross-check instead uses standard FCFE and forecast diluted shares, without deducting SBC. FCFE after disclosed acquisition cash highlights that textbook FCFE excludes acquisition spending. Normalised M&amp;A/restructuring retains the greater of actual charges and 2% of adjusted EBITDA because serial acquisition and integration activity is part of Zeta's observed model.</x:v>
      </x:c>
      <x:c r="I24" s="72" t="str">
        <x:v>Company-reported FCF is Zeta's non-GAAP measure. Standard FCFE uses CFO less capital expenditure and capitalised software plus net borrowing. SBC-adjusted FCF is an analyst diagnostic that subtracts SBC from company FCF; it is paired with current shares in the primary DCF. The dilution-only cross-check instead uses standard FCFE and forecast diluted shares, without deducting SBC. FCFE after disclosed acquisition cash highlights that textbook FCFE excludes acquisition spending. Normalised M&amp;A/restructuring retains the greater of actual charges and 2% of adjusted EBITDA because serial acquisition and integration activity is part of Zeta's observed model.</x:v>
      </x:c>
    </x:row>
    <x:row r="25">
      <x:c r="A25" s="70" t="str">
        <x:v>Company-reported FCF is Zeta's non-GAAP measure. Standard FCFE uses CFO less capital expenditure and capitalised software plus net borrowing. SBC-adjusted FCF is an analyst diagnostic that subtracts SBC from company FCF; it is paired with current shares in the primary DCF. The dilution-only cross-check instead uses standard FCFE and forecast diluted shares, without deducting SBC. FCFE after disclosed acquisition cash highlights that textbook FCFE excludes acquisition spending. Normalised M&amp;A/restructuring retains the greater of actual charges and 2% of adjusted EBITDA because serial acquisition and integration activity is part of Zeta's observed model.</x:v>
      </x:c>
      <x:c r="B25" s="71" t="str">
        <x:v>Company-reported FCF is Zeta's non-GAAP measure. Standard FCFE uses CFO less capital expenditure and capitalised software plus net borrowing. SBC-adjusted FCF is an analyst diagnostic that subtracts SBC from company FCF; it is paired with current shares in the primary DCF. The dilution-only cross-check instead uses standard FCFE and forecast diluted shares, without deducting SBC. FCFE after disclosed acquisition cash highlights that textbook FCFE excludes acquisition spending. Normalised M&amp;A/restructuring retains the greater of actual charges and 2% of adjusted EBITDA because serial acquisition and integration activity is part of Zeta's observed model.</x:v>
      </x:c>
      <x:c r="C25" s="71" t="str">
        <x:v>Company-reported FCF is Zeta's non-GAAP measure. Standard FCFE uses CFO less capital expenditure and capitalised software plus net borrowing. SBC-adjusted FCF is an analyst diagnostic that subtracts SBC from company FCF; it is paired with current shares in the primary DCF. The dilution-only cross-check instead uses standard FCFE and forecast diluted shares, without deducting SBC. FCFE after disclosed acquisition cash highlights that textbook FCFE excludes acquisition spending. Normalised M&amp;A/restructuring retains the greater of actual charges and 2% of adjusted EBITDA because serial acquisition and integration activity is part of Zeta's observed model.</x:v>
      </x:c>
      <x:c r="D25" s="71" t="str">
        <x:v>Company-reported FCF is Zeta's non-GAAP measure. Standard FCFE uses CFO less capital expenditure and capitalised software plus net borrowing. SBC-adjusted FCF is an analyst diagnostic that subtracts SBC from company FCF; it is paired with current shares in the primary DCF. The dilution-only cross-check instead uses standard FCFE and forecast diluted shares, without deducting SBC. FCFE after disclosed acquisition cash highlights that textbook FCFE excludes acquisition spending. Normalised M&amp;A/restructuring retains the greater of actual charges and 2% of adjusted EBITDA because serial acquisition and integration activity is part of Zeta's observed model.</x:v>
      </x:c>
      <x:c r="E25" s="71" t="str">
        <x:v>Company-reported FCF is Zeta's non-GAAP measure. Standard FCFE uses CFO less capital expenditure and capitalised software plus net borrowing. SBC-adjusted FCF is an analyst diagnostic that subtracts SBC from company FCF; it is paired with current shares in the primary DCF. The dilution-only cross-check instead uses standard FCFE and forecast diluted shares, without deducting SBC. FCFE after disclosed acquisition cash highlights that textbook FCFE excludes acquisition spending. Normalised M&amp;A/restructuring retains the greater of actual charges and 2% of adjusted EBITDA because serial acquisition and integration activity is part of Zeta's observed model.</x:v>
      </x:c>
      <x:c r="F25" s="71" t="str">
        <x:v>Company-reported FCF is Zeta's non-GAAP measure. Standard FCFE uses CFO less capital expenditure and capitalised software plus net borrowing. SBC-adjusted FCF is an analyst diagnostic that subtracts SBC from company FCF; it is paired with current shares in the primary DCF. The dilution-only cross-check instead uses standard FCFE and forecast diluted shares, without deducting SBC. FCFE after disclosed acquisition cash highlights that textbook FCFE excludes acquisition spending. Normalised M&amp;A/restructuring retains the greater of actual charges and 2% of adjusted EBITDA because serial acquisition and integration activity is part of Zeta's observed model.</x:v>
      </x:c>
      <x:c r="G25" s="71" t="str">
        <x:v>Company-reported FCF is Zeta's non-GAAP measure. Standard FCFE uses CFO less capital expenditure and capitalised software plus net borrowing. SBC-adjusted FCF is an analyst diagnostic that subtracts SBC from company FCF; it is paired with current shares in the primary DCF. The dilution-only cross-check instead uses standard FCFE and forecast diluted shares, without deducting SBC. FCFE after disclosed acquisition cash highlights that textbook FCFE excludes acquisition spending. Normalised M&amp;A/restructuring retains the greater of actual charges and 2% of adjusted EBITDA because serial acquisition and integration activity is part of Zeta's observed model.</x:v>
      </x:c>
      <x:c r="H25" s="71" t="str">
        <x:v>Company-reported FCF is Zeta's non-GAAP measure. Standard FCFE uses CFO less capital expenditure and capitalised software plus net borrowing. SBC-adjusted FCF is an analyst diagnostic that subtracts SBC from company FCF; it is paired with current shares in the primary DCF. The dilution-only cross-check instead uses standard FCFE and forecast diluted shares, without deducting SBC. FCFE after disclosed acquisition cash highlights that textbook FCFE excludes acquisition spending. Normalised M&amp;A/restructuring retains the greater of actual charges and 2% of adjusted EBITDA because serial acquisition and integration activity is part of Zeta's observed model.</x:v>
      </x:c>
      <x:c r="I25" s="72" t="str">
        <x:v>Company-reported FCF is Zeta's non-GAAP measure. Standard FCFE uses CFO less capital expenditure and capitalised software plus net borrowing. SBC-adjusted FCF is an analyst diagnostic that subtracts SBC from company FCF; it is paired with current shares in the primary DCF. The dilution-only cross-check instead uses standard FCFE and forecast diluted shares, without deducting SBC. FCFE after disclosed acquisition cash highlights that textbook FCFE excludes acquisition spending. Normalised M&amp;A/restructuring retains the greater of actual charges and 2% of adjusted EBITDA because serial acquisition and integration activity is part of Zeta's observed model.</x:v>
      </x:c>
    </x:row>
    <x:row r="26">
      <x:c r="A26" s="70" t="str">
        <x:v>Company-reported FCF is Zeta's non-GAAP measure. Standard FCFE uses CFO less capital expenditure and capitalised software plus net borrowing. SBC-adjusted FCF is an analyst diagnostic that subtracts SBC from company FCF; it is paired with current shares in the primary DCF. The dilution-only cross-check instead uses standard FCFE and forecast diluted shares, without deducting SBC. FCFE after disclosed acquisition cash highlights that textbook FCFE excludes acquisition spending. Normalised M&amp;A/restructuring retains the greater of actual charges and 2% of adjusted EBITDA because serial acquisition and integration activity is part of Zeta's observed model.</x:v>
      </x:c>
      <x:c r="B26" s="71" t="str">
        <x:v>Company-reported FCF is Zeta's non-GAAP measure. Standard FCFE uses CFO less capital expenditure and capitalised software plus net borrowing. SBC-adjusted FCF is an analyst diagnostic that subtracts SBC from company FCF; it is paired with current shares in the primary DCF. The dilution-only cross-check instead uses standard FCFE and forecast diluted shares, without deducting SBC. FCFE after disclosed acquisition cash highlights that textbook FCFE excludes acquisition spending. Normalised M&amp;A/restructuring retains the greater of actual charges and 2% of adjusted EBITDA because serial acquisition and integration activity is part of Zeta's observed model.</x:v>
      </x:c>
      <x:c r="C26" s="71" t="str">
        <x:v>Company-reported FCF is Zeta's non-GAAP measure. Standard FCFE uses CFO less capital expenditure and capitalised software plus net borrowing. SBC-adjusted FCF is an analyst diagnostic that subtracts SBC from company FCF; it is paired with current shares in the primary DCF. The dilution-only cross-check instead uses standard FCFE and forecast diluted shares, without deducting SBC. FCFE after disclosed acquisition cash highlights that textbook FCFE excludes acquisition spending. Normalised M&amp;A/restructuring retains the greater of actual charges and 2% of adjusted EBITDA because serial acquisition and integration activity is part of Zeta's observed model.</x:v>
      </x:c>
      <x:c r="D26" s="71" t="str">
        <x:v>Company-reported FCF is Zeta's non-GAAP measure. Standard FCFE uses CFO less capital expenditure and capitalised software plus net borrowing. SBC-adjusted FCF is an analyst diagnostic that subtracts SBC from company FCF; it is paired with current shares in the primary DCF. The dilution-only cross-check instead uses standard FCFE and forecast diluted shares, without deducting SBC. FCFE after disclosed acquisition cash highlights that textbook FCFE excludes acquisition spending. Normalised M&amp;A/restructuring retains the greater of actual charges and 2% of adjusted EBITDA because serial acquisition and integration activity is part of Zeta's observed model.</x:v>
      </x:c>
      <x:c r="E26" s="71" t="str">
        <x:v>Company-reported FCF is Zeta's non-GAAP measure. Standard FCFE uses CFO less capital expenditure and capitalised software plus net borrowing. SBC-adjusted FCF is an analyst diagnostic that subtracts SBC from company FCF; it is paired with current shares in the primary DCF. The dilution-only cross-check instead uses standard FCFE and forecast diluted shares, without deducting SBC. FCFE after disclosed acquisition cash highlights that textbook FCFE excludes acquisition spending. Normalised M&amp;A/restructuring retains the greater of actual charges and 2% of adjusted EBITDA because serial acquisition and integration activity is part of Zeta's observed model.</x:v>
      </x:c>
      <x:c r="F26" s="71" t="str">
        <x:v>Company-reported FCF is Zeta's non-GAAP measure. Standard FCFE uses CFO less capital expenditure and capitalised software plus net borrowing. SBC-adjusted FCF is an analyst diagnostic that subtracts SBC from company FCF; it is paired with current shares in the primary DCF. The dilution-only cross-check instead uses standard FCFE and forecast diluted shares, without deducting SBC. FCFE after disclosed acquisition cash highlights that textbook FCFE excludes acquisition spending. Normalised M&amp;A/restructuring retains the greater of actual charges and 2% of adjusted EBITDA because serial acquisition and integration activity is part of Zeta's observed model.</x:v>
      </x:c>
      <x:c r="G26" s="71" t="str">
        <x:v>Company-reported FCF is Zeta's non-GAAP measure. Standard FCFE uses CFO less capital expenditure and capitalised software plus net borrowing. SBC-adjusted FCF is an analyst diagnostic that subtracts SBC from company FCF; it is paired with current shares in the primary DCF. The dilution-only cross-check instead uses standard FCFE and forecast diluted shares, without deducting SBC. FCFE after disclosed acquisition cash highlights that textbook FCFE excludes acquisition spending. Normalised M&amp;A/restructuring retains the greater of actual charges and 2% of adjusted EBITDA because serial acquisition and integration activity is part of Zeta's observed model.</x:v>
      </x:c>
      <x:c r="H26" s="71" t="str">
        <x:v>Company-reported FCF is Zeta's non-GAAP measure. Standard FCFE uses CFO less capital expenditure and capitalised software plus net borrowing. SBC-adjusted FCF is an analyst diagnostic that subtracts SBC from company FCF; it is paired with current shares in the primary DCF. The dilution-only cross-check instead uses standard FCFE and forecast diluted shares, without deducting SBC. FCFE after disclosed acquisition cash highlights that textbook FCFE excludes acquisition spending. Normalised M&amp;A/restructuring retains the greater of actual charges and 2% of adjusted EBITDA because serial acquisition and integration activity is part of Zeta's observed model.</x:v>
      </x:c>
      <x:c r="I26" s="72" t="str">
        <x:v>Company-reported FCF is Zeta's non-GAAP measure. Standard FCFE uses CFO less capital expenditure and capitalised software plus net borrowing. SBC-adjusted FCF is an analyst diagnostic that subtracts SBC from company FCF; it is paired with current shares in the primary DCF. The dilution-only cross-check instead uses standard FCFE and forecast diluted shares, without deducting SBC. FCFE after disclosed acquisition cash highlights that textbook FCFE excludes acquisition spending. Normalised M&amp;A/restructuring retains the greater of actual charges and 2% of adjusted EBITDA because serial acquisition and integration activity is part of Zeta's observed model.</x:v>
      </x:c>
    </x:row>
    <x:row r="27">
      <x:c r="A27" s="70" t="str">
        <x:v>Company-reported FCF is Zeta's non-GAAP measure. Standard FCFE uses CFO less capital expenditure and capitalised software plus net borrowing. SBC-adjusted FCF is an analyst diagnostic that subtracts SBC from company FCF; it is paired with current shares in the primary DCF. The dilution-only cross-check instead uses standard FCFE and forecast diluted shares, without deducting SBC. FCFE after disclosed acquisition cash highlights that textbook FCFE excludes acquisition spending. Normalised M&amp;A/restructuring retains the greater of actual charges and 2% of adjusted EBITDA because serial acquisition and integration activity is part of Zeta's observed model.</x:v>
      </x:c>
      <x:c r="B27" s="71" t="str">
        <x:v>Company-reported FCF is Zeta's non-GAAP measure. Standard FCFE uses CFO less capital expenditure and capitalised software plus net borrowing. SBC-adjusted FCF is an analyst diagnostic that subtracts SBC from company FCF; it is paired with current shares in the primary DCF. The dilution-only cross-check instead uses standard FCFE and forecast diluted shares, without deducting SBC. FCFE after disclosed acquisition cash highlights that textbook FCFE excludes acquisition spending. Normalised M&amp;A/restructuring retains the greater of actual charges and 2% of adjusted EBITDA because serial acquisition and integration activity is part of Zeta's observed model.</x:v>
      </x:c>
      <x:c r="C27" s="71" t="str">
        <x:v>Company-reported FCF is Zeta's non-GAAP measure. Standard FCFE uses CFO less capital expenditure and capitalised software plus net borrowing. SBC-adjusted FCF is an analyst diagnostic that subtracts SBC from company FCF; it is paired with current shares in the primary DCF. The dilution-only cross-check instead uses standard FCFE and forecast diluted shares, without deducting SBC. FCFE after disclosed acquisition cash highlights that textbook FCFE excludes acquisition spending. Normalised M&amp;A/restructuring retains the greater of actual charges and 2% of adjusted EBITDA because serial acquisition and integration activity is part of Zeta's observed model.</x:v>
      </x:c>
      <x:c r="D27" s="71" t="str">
        <x:v>Company-reported FCF is Zeta's non-GAAP measure. Standard FCFE uses CFO less capital expenditure and capitalised software plus net borrowing. SBC-adjusted FCF is an analyst diagnostic that subtracts SBC from company FCF; it is paired with current shares in the primary DCF. The dilution-only cross-check instead uses standard FCFE and forecast diluted shares, without deducting SBC. FCFE after disclosed acquisition cash highlights that textbook FCFE excludes acquisition spending. Normalised M&amp;A/restructuring retains the greater of actual charges and 2% of adjusted EBITDA because serial acquisition and integration activity is part of Zeta's observed model.</x:v>
      </x:c>
      <x:c r="E27" s="71" t="str">
        <x:v>Company-reported FCF is Zeta's non-GAAP measure. Standard FCFE uses CFO less capital expenditure and capitalised software plus net borrowing. SBC-adjusted FCF is an analyst diagnostic that subtracts SBC from company FCF; it is paired with current shares in the primary DCF. The dilution-only cross-check instead uses standard FCFE and forecast diluted shares, without deducting SBC. FCFE after disclosed acquisition cash highlights that textbook FCFE excludes acquisition spending. Normalised M&amp;A/restructuring retains the greater of actual charges and 2% of adjusted EBITDA because serial acquisition and integration activity is part of Zeta's observed model.</x:v>
      </x:c>
      <x:c r="F27" s="71" t="str">
        <x:v>Company-reported FCF is Zeta's non-GAAP measure. Standard FCFE uses CFO less capital expenditure and capitalised software plus net borrowing. SBC-adjusted FCF is an analyst diagnostic that subtracts SBC from company FCF; it is paired with current shares in the primary DCF. The dilution-only cross-check instead uses standard FCFE and forecast diluted shares, without deducting SBC. FCFE after disclosed acquisition cash highlights that textbook FCFE excludes acquisition spending. Normalised M&amp;A/restructuring retains the greater of actual charges and 2% of adjusted EBITDA because serial acquisition and integration activity is part of Zeta's observed model.</x:v>
      </x:c>
      <x:c r="G27" s="71" t="str">
        <x:v>Company-reported FCF is Zeta's non-GAAP measure. Standard FCFE uses CFO less capital expenditure and capitalised software plus net borrowing. SBC-adjusted FCF is an analyst diagnostic that subtracts SBC from company FCF; it is paired with current shares in the primary DCF. The dilution-only cross-check instead uses standard FCFE and forecast diluted shares, without deducting SBC. FCFE after disclosed acquisition cash highlights that textbook FCFE excludes acquisition spending. Normalised M&amp;A/restructuring retains the greater of actual charges and 2% of adjusted EBITDA because serial acquisition and integration activity is part of Zeta's observed model.</x:v>
      </x:c>
      <x:c r="H27" s="71" t="str">
        <x:v>Company-reported FCF is Zeta's non-GAAP measure. Standard FCFE uses CFO less capital expenditure and capitalised software plus net borrowing. SBC-adjusted FCF is an analyst diagnostic that subtracts SBC from company FCF; it is paired with current shares in the primary DCF. The dilution-only cross-check instead uses standard FCFE and forecast diluted shares, without deducting SBC. FCFE after disclosed acquisition cash highlights that textbook FCFE excludes acquisition spending. Normalised M&amp;A/restructuring retains the greater of actual charges and 2% of adjusted EBITDA because serial acquisition and integration activity is part of Zeta's observed model.</x:v>
      </x:c>
      <x:c r="I27" s="72" t="str">
        <x:v>Company-reported FCF is Zeta's non-GAAP measure. Standard FCFE uses CFO less capital expenditure and capitalised software plus net borrowing. SBC-adjusted FCF is an analyst diagnostic that subtracts SBC from company FCF; it is paired with current shares in the primary DCF. The dilution-only cross-check instead uses standard FCFE and forecast diluted shares, without deducting SBC. FCFE after disclosed acquisition cash highlights that textbook FCFE excludes acquisition spending. Normalised M&amp;A/restructuring retains the greater of actual charges and 2% of adjusted EBITDA because serial acquisition and integration activity is part of Zeta's observed model.</x:v>
      </x:c>
    </x:row>
    <x:row r="28">
      <x:c r="A28" s="70" t="str">
        <x:v>Company-reported FCF is Zeta's non-GAAP measure. Standard FCFE uses CFO less capital expenditure and capitalised software plus net borrowing. SBC-adjusted FCF is an analyst diagnostic that subtracts SBC from company FCF; it is paired with current shares in the primary DCF. The dilution-only cross-check instead uses standard FCFE and forecast diluted shares, without deducting SBC. FCFE after disclosed acquisition cash highlights that textbook FCFE excludes acquisition spending. Normalised M&amp;A/restructuring retains the greater of actual charges and 2% of adjusted EBITDA because serial acquisition and integration activity is part of Zeta's observed model.</x:v>
      </x:c>
      <x:c r="B28" s="71" t="str">
        <x:v>Company-reported FCF is Zeta's non-GAAP measure. Standard FCFE uses CFO less capital expenditure and capitalised software plus net borrowing. SBC-adjusted FCF is an analyst diagnostic that subtracts SBC from company FCF; it is paired with current shares in the primary DCF. The dilution-only cross-check instead uses standard FCFE and forecast diluted shares, without deducting SBC. FCFE after disclosed acquisition cash highlights that textbook FCFE excludes acquisition spending. Normalised M&amp;A/restructuring retains the greater of actual charges and 2% of adjusted EBITDA because serial acquisition and integration activity is part of Zeta's observed model.</x:v>
      </x:c>
      <x:c r="C28" s="71" t="str">
        <x:v>Company-reported FCF is Zeta's non-GAAP measure. Standard FCFE uses CFO less capital expenditure and capitalised software plus net borrowing. SBC-adjusted FCF is an analyst diagnostic that subtracts SBC from company FCF; it is paired with current shares in the primary DCF. The dilution-only cross-check instead uses standard FCFE and forecast diluted shares, without deducting SBC. FCFE after disclosed acquisition cash highlights that textbook FCFE excludes acquisition spending. Normalised M&amp;A/restructuring retains the greater of actual charges and 2% of adjusted EBITDA because serial acquisition and integration activity is part of Zeta's observed model.</x:v>
      </x:c>
      <x:c r="D28" s="71" t="str">
        <x:v>Company-reported FCF is Zeta's non-GAAP measure. Standard FCFE uses CFO less capital expenditure and capitalised software plus net borrowing. SBC-adjusted FCF is an analyst diagnostic that subtracts SBC from company FCF; it is paired with current shares in the primary DCF. The dilution-only cross-check instead uses standard FCFE and forecast diluted shares, without deducting SBC. FCFE after disclosed acquisition cash highlights that textbook FCFE excludes acquisition spending. Normalised M&amp;A/restructuring retains the greater of actual charges and 2% of adjusted EBITDA because serial acquisition and integration activity is part of Zeta's observed model.</x:v>
      </x:c>
      <x:c r="E28" s="71" t="str">
        <x:v>Company-reported FCF is Zeta's non-GAAP measure. Standard FCFE uses CFO less capital expenditure and capitalised software plus net borrowing. SBC-adjusted FCF is an analyst diagnostic that subtracts SBC from company FCF; it is paired with current shares in the primary DCF. The dilution-only cross-check instead uses standard FCFE and forecast diluted shares, without deducting SBC. FCFE after disclosed acquisition cash highlights that textbook FCFE excludes acquisition spending. Normalised M&amp;A/restructuring retains the greater of actual charges and 2% of adjusted EBITDA because serial acquisition and integration activity is part of Zeta's observed model.</x:v>
      </x:c>
      <x:c r="F28" s="71" t="str">
        <x:v>Company-reported FCF is Zeta's non-GAAP measure. Standard FCFE uses CFO less capital expenditure and capitalised software plus net borrowing. SBC-adjusted FCF is an analyst diagnostic that subtracts SBC from company FCF; it is paired with current shares in the primary DCF. The dilution-only cross-check instead uses standard FCFE and forecast diluted shares, without deducting SBC. FCFE after disclosed acquisition cash highlights that textbook FCFE excludes acquisition spending. Normalised M&amp;A/restructuring retains the greater of actual charges and 2% of adjusted EBITDA because serial acquisition and integration activity is part of Zeta's observed model.</x:v>
      </x:c>
      <x:c r="G28" s="71" t="str">
        <x:v>Company-reported FCF is Zeta's non-GAAP measure. Standard FCFE uses CFO less capital expenditure and capitalised software plus net borrowing. SBC-adjusted FCF is an analyst diagnostic that subtracts SBC from company FCF; it is paired with current shares in the primary DCF. The dilution-only cross-check instead uses standard FCFE and forecast diluted shares, without deducting SBC. FCFE after disclosed acquisition cash highlights that textbook FCFE excludes acquisition spending. Normalised M&amp;A/restructuring retains the greater of actual charges and 2% of adjusted EBITDA because serial acquisition and integration activity is part of Zeta's observed model.</x:v>
      </x:c>
      <x:c r="H28" s="71" t="str">
        <x:v>Company-reported FCF is Zeta's non-GAAP measure. Standard FCFE uses CFO less capital expenditure and capitalised software plus net borrowing. SBC-adjusted FCF is an analyst diagnostic that subtracts SBC from company FCF; it is paired with current shares in the primary DCF. The dilution-only cross-check instead uses standard FCFE and forecast diluted shares, without deducting SBC. FCFE after disclosed acquisition cash highlights that textbook FCFE excludes acquisition spending. Normalised M&amp;A/restructuring retains the greater of actual charges and 2% of adjusted EBITDA because serial acquisition and integration activity is part of Zeta's observed model.</x:v>
      </x:c>
      <x:c r="I28" s="72" t="str">
        <x:v>Company-reported FCF is Zeta's non-GAAP measure. Standard FCFE uses CFO less capital expenditure and capitalised software plus net borrowing. SBC-adjusted FCF is an analyst diagnostic that subtracts SBC from company FCF; it is paired with current shares in the primary DCF. The dilution-only cross-check instead uses standard FCFE and forecast diluted shares, without deducting SBC. FCFE after disclosed acquisition cash highlights that textbook FCFE excludes acquisition spending. Normalised M&amp;A/restructuring retains the greater of actual charges and 2% of adjusted EBITDA because serial acquisition and integration activity is part of Zeta's observed model.</x:v>
      </x:c>
    </x:row>
    <x:row r="29">
      <x:c r="A29" s="73" t="str">
        <x:v>Company-reported FCF is Zeta's non-GAAP measure. Standard FCFE uses CFO less capital expenditure and capitalised software plus net borrowing. SBC-adjusted FCF is an analyst diagnostic that subtracts SBC from company FCF; it is paired with current shares in the primary DCF. The dilution-only cross-check instead uses standard FCFE and forecast diluted shares, without deducting SBC. FCFE after disclosed acquisition cash highlights that textbook FCFE excludes acquisition spending. Normalised M&amp;A/restructuring retains the greater of actual charges and 2% of adjusted EBITDA because serial acquisition and integration activity is part of Zeta's observed model.</x:v>
      </x:c>
      <x:c r="B29" s="74" t="str">
        <x:v>Company-reported FCF is Zeta's non-GAAP measure. Standard FCFE uses CFO less capital expenditure and capitalised software plus net borrowing. SBC-adjusted FCF is an analyst diagnostic that subtracts SBC from company FCF; it is paired with current shares in the primary DCF. The dilution-only cross-check instead uses standard FCFE and forecast diluted shares, without deducting SBC. FCFE after disclosed acquisition cash highlights that textbook FCFE excludes acquisition spending. Normalised M&amp;A/restructuring retains the greater of actual charges and 2% of adjusted EBITDA because serial acquisition and integration activity is part of Zeta's observed model.</x:v>
      </x:c>
      <x:c r="C29" s="74" t="str">
        <x:v>Company-reported FCF is Zeta's non-GAAP measure. Standard FCFE uses CFO less capital expenditure and capitalised software plus net borrowing. SBC-adjusted FCF is an analyst diagnostic that subtracts SBC from company FCF; it is paired with current shares in the primary DCF. The dilution-only cross-check instead uses standard FCFE and forecast diluted shares, without deducting SBC. FCFE after disclosed acquisition cash highlights that textbook FCFE excludes acquisition spending. Normalised M&amp;A/restructuring retains the greater of actual charges and 2% of adjusted EBITDA because serial acquisition and integration activity is part of Zeta's observed model.</x:v>
      </x:c>
      <x:c r="D29" s="74" t="str">
        <x:v>Company-reported FCF is Zeta's non-GAAP measure. Standard FCFE uses CFO less capital expenditure and capitalised software plus net borrowing. SBC-adjusted FCF is an analyst diagnostic that subtracts SBC from company FCF; it is paired with current shares in the primary DCF. The dilution-only cross-check instead uses standard FCFE and forecast diluted shares, without deducting SBC. FCFE after disclosed acquisition cash highlights that textbook FCFE excludes acquisition spending. Normalised M&amp;A/restructuring retains the greater of actual charges and 2% of adjusted EBITDA because serial acquisition and integration activity is part of Zeta's observed model.</x:v>
      </x:c>
      <x:c r="E29" s="74" t="str">
        <x:v>Company-reported FCF is Zeta's non-GAAP measure. Standard FCFE uses CFO less capital expenditure and capitalised software plus net borrowing. SBC-adjusted FCF is an analyst diagnostic that subtracts SBC from company FCF; it is paired with current shares in the primary DCF. The dilution-only cross-check instead uses standard FCFE and forecast diluted shares, without deducting SBC. FCFE after disclosed acquisition cash highlights that textbook FCFE excludes acquisition spending. Normalised M&amp;A/restructuring retains the greater of actual charges and 2% of adjusted EBITDA because serial acquisition and integration activity is part of Zeta's observed model.</x:v>
      </x:c>
      <x:c r="F29" s="74" t="str">
        <x:v>Company-reported FCF is Zeta's non-GAAP measure. Standard FCFE uses CFO less capital expenditure and capitalised software plus net borrowing. SBC-adjusted FCF is an analyst diagnostic that subtracts SBC from company FCF; it is paired with current shares in the primary DCF. The dilution-only cross-check instead uses standard FCFE and forecast diluted shares, without deducting SBC. FCFE after disclosed acquisition cash highlights that textbook FCFE excludes acquisition spending. Normalised M&amp;A/restructuring retains the greater of actual charges and 2% of adjusted EBITDA because serial acquisition and integration activity is part of Zeta's observed model.</x:v>
      </x:c>
      <x:c r="G29" s="74" t="str">
        <x:v>Company-reported FCF is Zeta's non-GAAP measure. Standard FCFE uses CFO less capital expenditure and capitalised software plus net borrowing. SBC-adjusted FCF is an analyst diagnostic that subtracts SBC from company FCF; it is paired with current shares in the primary DCF. The dilution-only cross-check instead uses standard FCFE and forecast diluted shares, without deducting SBC. FCFE after disclosed acquisition cash highlights that textbook FCFE excludes acquisition spending. Normalised M&amp;A/restructuring retains the greater of actual charges and 2% of adjusted EBITDA because serial acquisition and integration activity is part of Zeta's observed model.</x:v>
      </x:c>
      <x:c r="H29" s="74" t="str">
        <x:v>Company-reported FCF is Zeta's non-GAAP measure. Standard FCFE uses CFO less capital expenditure and capitalised software plus net borrowing. SBC-adjusted FCF is an analyst diagnostic that subtracts SBC from company FCF; it is paired with current shares in the primary DCF. The dilution-only cross-check instead uses standard FCFE and forecast diluted shares, without deducting SBC. FCFE after disclosed acquisition cash highlights that textbook FCFE excludes acquisition spending. Normalised M&amp;A/restructuring retains the greater of actual charges and 2% of adjusted EBITDA because serial acquisition and integration activity is part of Zeta's observed model.</x:v>
      </x:c>
      <x:c r="I29" s="75" t="str">
        <x:v>Company-reported FCF is Zeta's non-GAAP measure. Standard FCFE uses CFO less capital expenditure and capitalised software plus net borrowing. SBC-adjusted FCF is an analyst diagnostic that subtracts SBC from company FCF; it is paired with current shares in the primary DCF. The dilution-only cross-check instead uses standard FCFE and forecast diluted shares, without deducting SBC. FCFE after disclosed acquisition cash highlights that textbook FCFE excludes acquisition spending. Normalised M&amp;A/restructuring retains the greater of actual charges and 2% of adjusted EBITDA because serial acquisition and integration activity is part of Zeta's observed model.</x:v>
      </x:c>
    </x:row>
  </x:sheetData>
  <x:mergeCells>
    <x:mergeCell ref="A1:I2"/>
    <x:mergeCell ref="A24:I29"/>
  </x:mergeCells>
  <x:conditionalFormatting sqref="B22:I22">
    <x:cfRule type="containsText" dxfId="0" priority="1" operator="containsText" text="negative"/>
  </x:conditionalFormatting>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34" hidden="0" customWidth="1"/>
    <x:col min="2" max="2" width="13" hidden="0" customWidth="1"/>
    <x:col min="3" max="3" width="13" hidden="0" customWidth="1"/>
    <x:col min="4" max="4" width="13" hidden="0" customWidth="1"/>
    <x:col min="5" max="5" width="13" hidden="0" customWidth="1"/>
    <x:col min="6" max="6" width="13" hidden="0" customWidth="1"/>
    <x:col min="7" max="7" width="13" hidden="0" customWidth="1"/>
    <x:col min="8" max="8" width="13" hidden="0" customWidth="1"/>
    <x:col min="9" max="9" width="13" hidden="0" customWidth="1"/>
    <x:col min="10" max="10" width="13" hidden="0" customWidth="1"/>
    <x:col min="11" max="11" width="13" hidden="0" customWidth="1"/>
    <x:col min="12" max="12" width="13" hidden="0" customWidth="1"/>
    <x:col min="13" max="13" width="3" hidden="0" customWidth="1"/>
    <x:col min="14" max="14" width="13" hidden="0" customWidth="1"/>
    <x:col min="15" max="15" width="13" hidden="0" customWidth="1"/>
    <x:col min="16" max="16" width="13" hidden="0" customWidth="1"/>
  </x:cols>
  <x:sheetData>
    <x:row r="1" ht="28" customHeight="1">
      <x:c r="A1" s="50" t="str">
        <x:v>Base Forecast — Neutral Starting Case</x:v>
      </x:c>
      <x:c r="B1" s="51" t="str">
        <x:v>Base Forecast — Neutral Starting Case</x:v>
      </x:c>
      <x:c r="C1" s="51" t="str">
        <x:v>Base Forecast — Neutral Starting Case</x:v>
      </x:c>
      <x:c r="D1" s="51" t="str">
        <x:v>Base Forecast — Neutral Starting Case</x:v>
      </x:c>
      <x:c r="E1" s="51" t="str">
        <x:v>Base Forecast — Neutral Starting Case</x:v>
      </x:c>
      <x:c r="F1" s="51" t="str">
        <x:v>Base Forecast — Neutral Starting Case</x:v>
      </x:c>
      <x:c r="G1" s="51" t="str">
        <x:v>Base Forecast — Neutral Starting Case</x:v>
      </x:c>
      <x:c r="H1" s="51" t="str">
        <x:v>Base Forecast — Neutral Starting Case</x:v>
      </x:c>
      <x:c r="I1" s="51" t="str">
        <x:v>Base Forecast — Neutral Starting Case</x:v>
      </x:c>
      <x:c r="J1" s="51" t="str">
        <x:v>Base Forecast — Neutral Starting Case</x:v>
      </x:c>
      <x:c r="K1" s="51" t="str">
        <x:v>Base Forecast — Neutral Starting Case</x:v>
      </x:c>
      <x:c r="L1" s="51" t="str">
        <x:v>Base Forecast — Neutral Starting Case</x:v>
      </x:c>
      <x:c r="M1" s="82"/>
      <x:c r="N1" s="82"/>
      <x:c r="O1" s="82"/>
      <x:c r="P1" s="83"/>
    </x:row>
    <x:row r="2" ht="28" customHeight="1">
      <x:c r="A2" s="53" t="str">
        <x:v>Base Forecast — Neutral Starting Case</x:v>
      </x:c>
      <x:c r="B2" s="54" t="str">
        <x:v>Base Forecast — Neutral Starting Case</x:v>
      </x:c>
      <x:c r="C2" s="54" t="str">
        <x:v>Base Forecast — Neutral Starting Case</x:v>
      </x:c>
      <x:c r="D2" s="54" t="str">
        <x:v>Base Forecast — Neutral Starting Case</x:v>
      </x:c>
      <x:c r="E2" s="54" t="str">
        <x:v>Base Forecast — Neutral Starting Case</x:v>
      </x:c>
      <x:c r="F2" s="54" t="str">
        <x:v>Base Forecast — Neutral Starting Case</x:v>
      </x:c>
      <x:c r="G2" s="54" t="str">
        <x:v>Base Forecast — Neutral Starting Case</x:v>
      </x:c>
      <x:c r="H2" s="54" t="str">
        <x:v>Base Forecast — Neutral Starting Case</x:v>
      </x:c>
      <x:c r="I2" s="54" t="str">
        <x:v>Base Forecast — Neutral Starting Case</x:v>
      </x:c>
      <x:c r="J2" s="54" t="str">
        <x:v>Base Forecast — Neutral Starting Case</x:v>
      </x:c>
      <x:c r="K2" s="54" t="str">
        <x:v>Base Forecast — Neutral Starting Case</x:v>
      </x:c>
      <x:c r="L2" s="54" t="str">
        <x:v>Base Forecast — Neutral Starting Case</x:v>
      </x:c>
      <x:c r="M2" s="57"/>
      <x:c r="N2" s="57"/>
      <x:c r="O2" s="57"/>
      <x:c r="P2" s="58"/>
    </x:row>
    <x:row r="3">
      <x:c r="A3" s="56"/>
      <x:c r="B3" s="57"/>
      <x:c r="C3" s="57"/>
      <x:c r="D3" s="57"/>
      <x:c r="E3" s="57"/>
      <x:c r="F3" s="57"/>
      <x:c r="G3" s="57"/>
      <x:c r="H3" s="57"/>
      <x:c r="I3" s="57"/>
      <x:c r="J3" s="57"/>
      <x:c r="K3" s="57"/>
      <x:c r="L3" s="57"/>
      <x:c r="M3" s="57"/>
      <x:c r="N3" s="57"/>
      <x:c r="O3" s="57"/>
      <x:c r="P3" s="58"/>
    </x:row>
    <x:row r="4">
      <x:c r="A4" s="59" t="str">
        <x:v>USD m except per share</x:v>
      </x:c>
      <x:c r="B4" s="60" t="str">
        <x:v>2025A</x:v>
      </x:c>
      <x:c r="C4" s="60" t="str">
        <x:v>2026E</x:v>
      </x:c>
      <x:c r="D4" s="60" t="str">
        <x:v>2027E</x:v>
      </x:c>
      <x:c r="E4" s="60" t="str">
        <x:v>2028E</x:v>
      </x:c>
      <x:c r="F4" s="60" t="str">
        <x:v>2029E</x:v>
      </x:c>
      <x:c r="G4" s="60" t="str">
        <x:v>2030E</x:v>
      </x:c>
      <x:c r="H4" s="60" t="str">
        <x:v>2031E</x:v>
      </x:c>
      <x:c r="I4" s="60" t="str">
        <x:v>2032E</x:v>
      </x:c>
      <x:c r="J4" s="60" t="str">
        <x:v>2033E</x:v>
      </x:c>
      <x:c r="K4" s="60" t="str">
        <x:v>2034E</x:v>
      </x:c>
      <x:c r="L4" s="60" t="str">
        <x:v>2035E</x:v>
      </x:c>
      <x:c r="M4" s="57"/>
      <x:c r="N4" s="57" t="str">
        <x:v>Year</x:v>
      </x:c>
      <x:c r="O4" s="57" t="str">
        <x:v>Company FCF margin</x:v>
      </x:c>
      <x:c r="P4" s="58" t="str">
        <x:v>SBC-adjusted FCF margin</x:v>
      </x:c>
    </x:row>
    <x:row r="5">
      <x:c r="A5" s="56" t="str">
        <x:v>Revenue</x:v>
      </x:c>
      <x:c r="B5" s="84" t="n">
        <x:f>'Historical'!H5</x:f>
        <x:v>1304.668</x:v>
      </x:c>
      <x:c r="C5" s="84" t="n">
        <x:f>'Historical'!I5</x:f>
        <x:v>1818</x:v>
      </x:c>
      <x:c r="D5" s="84" t="n">
        <x:f>C5*(1+'Assumptions'!C5)</x:f>
        <x:v>2108.8799999999997</x:v>
      </x:c>
      <x:c r="E5" s="84" t="n">
        <x:f>D5*(1+'Assumptions'!D5)</x:f>
        <x:v>2340.8568</x:v>
      </x:c>
      <x:c r="F5" s="84" t="n">
        <x:f>E5*(1+'Assumptions'!E5)</x:f>
        <x:v>2645.1681839999997</x:v>
      </x:c>
      <x:c r="G5" s="84" t="n">
        <x:f>F5*(1+'Assumptions'!F5)</x:f>
        <x:v>2936.13668424</x:v>
      </x:c>
      <x:c r="H5" s="84" t="n">
        <x:f>G5*(1+'Assumptions'!G5)</x:f>
        <x:v>3200.3889858216</x:v>
      </x:c>
      <x:c r="I5" s="84" t="n">
        <x:f>H5*(1+'Assumptions'!H5)</x:f>
        <x:v>3456.420104687328</x:v>
      </x:c>
      <x:c r="J5" s="84" t="n">
        <x:f>I5*(1+'Assumptions'!I5)</x:f>
        <x:v>3698.369512015441</x:v>
      </x:c>
      <x:c r="K5" s="84" t="n">
        <x:f>J5*(1+'Assumptions'!J5)</x:f>
        <x:v>3920.271682736368</x:v>
      </x:c>
      <x:c r="L5" s="84" t="n">
        <x:f>K5*(1+'Assumptions'!K5)</x:f>
        <x:v>4116.285266873187</x:v>
      </x:c>
      <x:c r="M5" s="57"/>
      <x:c r="N5" s="57" t="str">
        <x:v>2026E</x:v>
      </x:c>
      <x:c r="O5" s="67" t="n">
        <x:f>C24</x:f>
        <x:v>0.14042904290429042</x:v>
      </x:c>
      <x:c r="P5" s="85" t="n">
        <x:f>C30</x:f>
        <x:v>0.030329042904290435</x:v>
      </x:c>
    </x:row>
    <x:row r="6">
      <x:c r="A6" s="56" t="str">
        <x:v>Revenue growth</x:v>
      </x:c>
      <x:c r="B6" s="78" t="n">
        <x:f>'Historical'!H6</x:f>
        <x:v>0.2972038888237083</x:v>
      </x:c>
      <x:c r="C6" s="78" t="n">
        <x:f>C5/B5-1</x:f>
        <x:v>0.3934579525212545</x:v>
      </x:c>
      <x:c r="D6" s="78" t="n">
        <x:f>'Assumptions'!C5</x:f>
        <x:v>0.16</x:v>
      </x:c>
      <x:c r="E6" s="78" t="n">
        <x:f>'Assumptions'!D5</x:f>
        <x:v>0.11</x:v>
      </x:c>
      <x:c r="F6" s="78" t="n">
        <x:f>'Assumptions'!E5</x:f>
        <x:v>0.13</x:v>
      </x:c>
      <x:c r="G6" s="78" t="n">
        <x:f>'Assumptions'!F5</x:f>
        <x:v>0.11</x:v>
      </x:c>
      <x:c r="H6" s="78" t="n">
        <x:f>'Assumptions'!G5</x:f>
        <x:v>0.09</x:v>
      </x:c>
      <x:c r="I6" s="78" t="n">
        <x:f>'Assumptions'!H5</x:f>
        <x:v>0.08</x:v>
      </x:c>
      <x:c r="J6" s="78" t="n">
        <x:f>'Assumptions'!I5</x:f>
        <x:v>0.07</x:v>
      </x:c>
      <x:c r="K6" s="78" t="n">
        <x:f>'Assumptions'!J5</x:f>
        <x:v>0.06</x:v>
      </x:c>
      <x:c r="L6" s="78" t="n">
        <x:f>'Assumptions'!K5</x:f>
        <x:v>0.05</x:v>
      </x:c>
      <x:c r="M6" s="57"/>
      <x:c r="N6" s="57" t="str">
        <x:v>2027E</x:v>
      </x:c>
      <x:c r="O6" s="67" t="n">
        <x:f>D24</x:f>
        <x:v>0.15</x:v>
      </x:c>
      <x:c r="P6" s="85" t="n">
        <x:f>D30</x:f>
        <x:v>0.06499999999999999</x:v>
      </x:c>
    </x:row>
    <x:row r="7">
      <x:c r="A7" s="56" t="str">
        <x:v>Adjusted EBITDA margin</x:v>
      </x:c>
      <x:c r="B7" s="78" t="n">
        <x:f>'Historical'!H21</x:f>
        <x:v>0.2135907372603605</x:v>
      </x:c>
      <x:c r="C7" s="78" t="n">
        <x:f>'Assumptions'!B6</x:f>
        <x:v>0.223</x:v>
      </x:c>
      <x:c r="D7" s="78" t="n">
        <x:f>'Assumptions'!C6</x:f>
        <x:v>0.234</x:v>
      </x:c>
      <x:c r="E7" s="78" t="n">
        <x:f>'Assumptions'!D6</x:f>
        <x:v>0.25</x:v>
      </x:c>
      <x:c r="F7" s="78" t="n">
        <x:f>'Assumptions'!E6</x:f>
        <x:v>0.255</x:v>
      </x:c>
      <x:c r="G7" s="78" t="n">
        <x:f>'Assumptions'!F6</x:f>
        <x:v>0.26</x:v>
      </x:c>
      <x:c r="H7" s="78" t="n">
        <x:f>'Assumptions'!G6</x:f>
        <x:v>0.265</x:v>
      </x:c>
      <x:c r="I7" s="78" t="n">
        <x:f>'Assumptions'!H6</x:f>
        <x:v>0.27</x:v>
      </x:c>
      <x:c r="J7" s="78" t="n">
        <x:f>'Assumptions'!I6</x:f>
        <x:v>0.272</x:v>
      </x:c>
      <x:c r="K7" s="78" t="n">
        <x:f>'Assumptions'!J6</x:f>
        <x:v>0.274</x:v>
      </x:c>
      <x:c r="L7" s="78" t="n">
        <x:f>'Assumptions'!K6</x:f>
        <x:v>0.275</x:v>
      </x:c>
      <x:c r="M7" s="57"/>
      <x:c r="N7" s="57" t="str">
        <x:v>2028E</x:v>
      </x:c>
      <x:c r="O7" s="67" t="n">
        <x:f>E24</x:f>
        <x:v>0.161</x:v>
      </x:c>
      <x:c r="P7" s="85" t="n">
        <x:f>E30</x:f>
        <x:v>0.10100000000000002</x:v>
      </x:c>
    </x:row>
    <x:row r="8">
      <x:c r="A8" s="56" t="str">
        <x:v>Adjusted EBITDA</x:v>
      </x:c>
      <x:c r="B8" s="84" t="n">
        <x:f>'Historical'!H20</x:f>
        <x:v>278.665</x:v>
      </x:c>
      <x:c r="C8" s="84" t="n">
        <x:f>C5*C7</x:f>
        <x:v>405.414</x:v>
      </x:c>
      <x:c r="D8" s="84" t="n">
        <x:f>D5*D7</x:f>
        <x:v>493.4779199999999</x:v>
      </x:c>
      <x:c r="E8" s="84" t="n">
        <x:f>E5*E7</x:f>
        <x:v>585.2142</x:v>
      </x:c>
      <x:c r="F8" s="84" t="n">
        <x:f>F5*F7</x:f>
        <x:v>674.5178869199999</x:v>
      </x:c>
      <x:c r="G8" s="84" t="n">
        <x:f>G5*G7</x:f>
        <x:v>763.3955379024</x:v>
      </x:c>
      <x:c r="H8" s="84" t="n">
        <x:f>H5*H7</x:f>
        <x:v>848.103081242724</x:v>
      </x:c>
      <x:c r="I8" s="84" t="n">
        <x:f>I5*I7</x:f>
        <x:v>933.2334282655787</x:v>
      </x:c>
      <x:c r="J8" s="84" t="n">
        <x:f>J5*J7</x:f>
        <x:v>1005.9565072682001</x:v>
      </x:c>
      <x:c r="K8" s="84" t="n">
        <x:f>K5*K7</x:f>
        <x:v>1074.154441069765</x:v>
      </x:c>
      <x:c r="L8" s="84" t="n">
        <x:f>L5*L7</x:f>
        <x:v>1131.9784483901265</x:v>
      </x:c>
      <x:c r="M8" s="57"/>
      <x:c r="N8" s="57" t="str">
        <x:v>2029E</x:v>
      </x:c>
      <x:c r="O8" s="67" t="n">
        <x:f>F24</x:f>
        <x:v>0.17</x:v>
      </x:c>
      <x:c r="P8" s="85" t="n">
        <x:f>F30</x:f>
        <x:v>0.11500000000000002</x:v>
      </x:c>
    </x:row>
    <x:row r="9">
      <x:c r="A9" s="56" t="str">
        <x:v>SBC / revenue</x:v>
      </x:c>
      <x:c r="B9" s="78" t="n">
        <x:f>'Historical'!H18/'Historical'!H5</x:f>
        <x:v>0.1362959772141265</x:v>
      </x:c>
      <x:c r="C9" s="78" t="n">
        <x:f>'Assumptions'!B8</x:f>
        <x:v>0.1101</x:v>
      </x:c>
      <x:c r="D9" s="78" t="n">
        <x:f>'Assumptions'!C8</x:f>
        <x:v>0.085</x:v>
      </x:c>
      <x:c r="E9" s="78" t="n">
        <x:f>'Assumptions'!D8</x:f>
        <x:v>0.06</x:v>
      </x:c>
      <x:c r="F9" s="78" t="n">
        <x:f>'Assumptions'!E8</x:f>
        <x:v>0.055</x:v>
      </x:c>
      <x:c r="G9" s="78" t="n">
        <x:f>'Assumptions'!F8</x:f>
        <x:v>0.05</x:v>
      </x:c>
      <x:c r="H9" s="78" t="n">
        <x:f>'Assumptions'!G8</x:f>
        <x:v>0.045</x:v>
      </x:c>
      <x:c r="I9" s="78" t="n">
        <x:f>'Assumptions'!H8</x:f>
        <x:v>0.042</x:v>
      </x:c>
      <x:c r="J9" s="78" t="n">
        <x:f>'Assumptions'!I8</x:f>
        <x:v>0.04</x:v>
      </x:c>
      <x:c r="K9" s="78" t="n">
        <x:f>'Assumptions'!J8</x:f>
        <x:v>0.038</x:v>
      </x:c>
      <x:c r="L9" s="78" t="n">
        <x:f>'Assumptions'!K8</x:f>
        <x:v>0.035</x:v>
      </x:c>
      <x:c r="M9" s="57"/>
      <x:c r="N9" s="57" t="str">
        <x:v>2030E</x:v>
      </x:c>
      <x:c r="O9" s="67" t="n">
        <x:f>G24</x:f>
        <x:v>0.18</x:v>
      </x:c>
      <x:c r="P9" s="85" t="n">
        <x:f>G30</x:f>
        <x:v>0.12999999999999998</x:v>
      </x:c>
    </x:row>
    <x:row r="10">
      <x:c r="A10" s="56" t="str">
        <x:v>SBC</x:v>
      </x:c>
      <x:c r="B10" s="84" t="n">
        <x:f>'Historical'!H18</x:f>
        <x:v>177.821</x:v>
      </x:c>
      <x:c r="C10" s="84" t="n">
        <x:f>C5*C9</x:f>
        <x:v>200.1618</x:v>
      </x:c>
      <x:c r="D10" s="84" t="n">
        <x:f>D5*D9</x:f>
        <x:v>179.2548</x:v>
      </x:c>
      <x:c r="E10" s="84" t="n">
        <x:f>E5*E9</x:f>
        <x:v>140.451408</x:v>
      </x:c>
      <x:c r="F10" s="84" t="n">
        <x:f>F5*F9</x:f>
        <x:v>145.48425011999998</x:v>
      </x:c>
      <x:c r="G10" s="84" t="n">
        <x:f>G5*G9</x:f>
        <x:v>146.80683421199998</x:v>
      </x:c>
      <x:c r="H10" s="84" t="n">
        <x:f>H5*H9</x:f>
        <x:v>144.017504361972</x:v>
      </x:c>
      <x:c r="I10" s="84" t="n">
        <x:f>I5*I9</x:f>
        <x:v>145.1696443968678</x:v>
      </x:c>
      <x:c r="J10" s="84" t="n">
        <x:f>J5*J9</x:f>
        <x:v>147.93478048061766</x:v>
      </x:c>
      <x:c r="K10" s="84" t="n">
        <x:f>K5*K9</x:f>
        <x:v>148.97032394398198</x:v>
      </x:c>
      <x:c r="L10" s="84" t="n">
        <x:f>L5*L9</x:f>
        <x:v>144.06998434056155</x:v>
      </x:c>
      <x:c r="M10" s="57"/>
      <x:c r="N10" s="57" t="str">
        <x:v>2031E</x:v>
      </x:c>
      <x:c r="O10" s="67" t="n">
        <x:f>H24</x:f>
        <x:v>0.19</x:v>
      </x:c>
      <x:c r="P10" s="85" t="n">
        <x:f>H30</x:f>
        <x:v>0.145</x:v>
      </x:c>
    </x:row>
    <x:row r="11">
      <x:c r="A11" s="56" t="str">
        <x:v>Recurring M&amp;A/restruct. / revenue</x:v>
      </x:c>
      <x:c r="B11" s="78" t="n">
        <x:f>('Historical'!H14+'Historical'!H15)/'Historical'!H5</x:f>
        <x:v>0.0179608911999068</x:v>
      </x:c>
      <x:c r="C11" s="78" t="n">
        <x:f>'Assumptions'!B10</x:f>
        <x:v>0.0055</x:v>
      </x:c>
      <x:c r="D11" s="78" t="n">
        <x:f>'Assumptions'!C10</x:f>
        <x:v>0.005</x:v>
      </x:c>
      <x:c r="E11" s="78" t="n">
        <x:f>'Assumptions'!D10</x:f>
        <x:v>0.0045</x:v>
      </x:c>
      <x:c r="F11" s="78" t="n">
        <x:f>'Assumptions'!E10</x:f>
        <x:v>0.004</x:v>
      </x:c>
      <x:c r="G11" s="78" t="n">
        <x:f>'Assumptions'!F10</x:f>
        <x:v>0.004</x:v>
      </x:c>
      <x:c r="H11" s="78" t="n">
        <x:f>'Assumptions'!G10</x:f>
        <x:v>0.0035</x:v>
      </x:c>
      <x:c r="I11" s="78" t="n">
        <x:f>'Assumptions'!H10</x:f>
        <x:v>0.0035</x:v>
      </x:c>
      <x:c r="J11" s="78" t="n">
        <x:f>'Assumptions'!I10</x:f>
        <x:v>0.003</x:v>
      </x:c>
      <x:c r="K11" s="78" t="n">
        <x:f>'Assumptions'!J10</x:f>
        <x:v>0.003</x:v>
      </x:c>
      <x:c r="L11" s="78" t="n">
        <x:f>'Assumptions'!K10</x:f>
        <x:v>0.003</x:v>
      </x:c>
      <x:c r="M11" s="57"/>
      <x:c r="N11" s="57" t="str">
        <x:v>2032E</x:v>
      </x:c>
      <x:c r="O11" s="67" t="n">
        <x:f>I24</x:f>
        <x:v>0.195</x:v>
      </x:c>
      <x:c r="P11" s="85" t="n">
        <x:f>I30</x:f>
        <x:v>0.15299999999999997</x:v>
      </x:c>
    </x:row>
    <x:row r="12">
      <x:c r="A12" s="56" t="str">
        <x:v>Recurring M&amp;A/restruct.</x:v>
      </x:c>
      <x:c r="B12" s="84" t="n">
        <x:f>'Historical'!H14+'Historical'!H15</x:f>
        <x:v>23.433</x:v>
      </x:c>
      <x:c r="C12" s="84" t="n">
        <x:f>C5*C11</x:f>
        <x:v>9.998999999999999</x:v>
      </x:c>
      <x:c r="D12" s="84" t="n">
        <x:f>D5*D11</x:f>
        <x:v>10.544399999999998</x:v>
      </x:c>
      <x:c r="E12" s="84" t="n">
        <x:f>E5*E11</x:f>
        <x:v>10.533855599999999</x:v>
      </x:c>
      <x:c r="F12" s="84" t="n">
        <x:f>F5*F11</x:f>
        <x:v>10.580672735999999</x:v>
      </x:c>
      <x:c r="G12" s="84" t="n">
        <x:f>G5*G11</x:f>
        <x:v>11.74454673696</x:v>
      </x:c>
      <x:c r="H12" s="84" t="n">
        <x:f>H5*H11</x:f>
        <x:v>11.2013614503756</x:v>
      </x:c>
      <x:c r="I12" s="84" t="n">
        <x:f>I5*I11</x:f>
        <x:v>12.097470366405648</x:v>
      </x:c>
      <x:c r="J12" s="84" t="n">
        <x:f>J5*J11</x:f>
        <x:v>11.095108536046324</x:v>
      </x:c>
      <x:c r="K12" s="84" t="n">
        <x:f>K5*K11</x:f>
        <x:v>11.760815048209103</x:v>
      </x:c>
      <x:c r="L12" s="84" t="n">
        <x:f>L5*L11</x:f>
        <x:v>12.34885580061956</x:v>
      </x:c>
      <x:c r="M12" s="57"/>
      <x:c r="N12" s="57" t="str">
        <x:v>2033E</x:v>
      </x:c>
      <x:c r="O12" s="67" t="n">
        <x:f>J24</x:f>
        <x:v>0.2</x:v>
      </x:c>
      <x:c r="P12" s="85" t="n">
        <x:f>J30</x:f>
        <x:v>0.16</x:v>
      </x:c>
    </x:row>
    <x:row r="13">
      <x:c r="A13" s="56" t="str">
        <x:v>Normalised EBITDA</x:v>
      </x:c>
      <x:c r="B13" s="84" t="n">
        <x:f>'Normalisation'!H8</x:f>
        <x:v>77.41100000000003</x:v>
      </x:c>
      <x:c r="C13" s="84" t="n">
        <x:f>C8-C10-C12</x:f>
        <x:v>195.2532</x:v>
      </x:c>
      <x:c r="D13" s="84" t="n">
        <x:f>D8-D10-D12</x:f>
        <x:v>303.67871999999994</x:v>
      </x:c>
      <x:c r="E13" s="84" t="n">
        <x:f>E8-E10-E12</x:f>
        <x:v>434.2289364</x:v>
      </x:c>
      <x:c r="F13" s="84" t="n">
        <x:f>F8-F10-F12</x:f>
        <x:v>518.452964064</x:v>
      </x:c>
      <x:c r="G13" s="84" t="n">
        <x:f>G8-G10-G12</x:f>
        <x:v>604.8441569534399</x:v>
      </x:c>
      <x:c r="H13" s="84" t="n">
        <x:f>H8-H10-H12</x:f>
        <x:v>692.8842154303763</x:v>
      </x:c>
      <x:c r="I13" s="84" t="n">
        <x:f>I8-I10-I12</x:f>
        <x:v>775.9663135023053</x:v>
      </x:c>
      <x:c r="J13" s="84" t="n">
        <x:f>J8-J10-J12</x:f>
        <x:v>846.9266182515362</x:v>
      </x:c>
      <x:c r="K13" s="84" t="n">
        <x:f>K8-K10-K12</x:f>
        <x:v>913.4233020775739</x:v>
      </x:c>
      <x:c r="L13" s="84" t="n">
        <x:f>L8-L10-L12</x:f>
        <x:v>975.5596082489453</x:v>
      </x:c>
      <x:c r="M13" s="57"/>
      <x:c r="N13" s="57" t="str">
        <x:v>2034E</x:v>
      </x:c>
      <x:c r="O13" s="67" t="n">
        <x:f>K24</x:f>
        <x:v>0.205</x:v>
      </x:c>
      <x:c r="P13" s="85" t="n">
        <x:f>K30</x:f>
        <x:v>0.16699999999999998</x:v>
      </x:c>
    </x:row>
    <x:row r="14">
      <x:c r="A14" s="56" t="str">
        <x:v>Normalised EBITDA margin</x:v>
      </x:c>
      <x:c r="B14" s="78" t="n">
        <x:f>'Normalisation'!H9</x:f>
        <x:v>0.059333868846327215</x:v>
      </x:c>
      <x:c r="C14" s="78" t="n">
        <x:f>C13/C5</x:f>
        <x:v>0.1074</x:v>
      </x:c>
      <x:c r="D14" s="78" t="n">
        <x:f>D13/D5</x:f>
        <x:v>0.144</x:v>
      </x:c>
      <x:c r="E14" s="78" t="n">
        <x:f>E13/E5</x:f>
        <x:v>0.1855</x:v>
      </x:c>
      <x:c r="F14" s="78" t="n">
        <x:f>F13/F5</x:f>
        <x:v>0.196</x:v>
      </x:c>
      <x:c r="G14" s="78" t="n">
        <x:f>G13/G5</x:f>
        <x:v>0.206</x:v>
      </x:c>
      <x:c r="H14" s="78" t="n">
        <x:f>H13/H5</x:f>
        <x:v>0.2165</x:v>
      </x:c>
      <x:c r="I14" s="78" t="n">
        <x:f>I13/I5</x:f>
        <x:v>0.22450000000000003</x:v>
      </x:c>
      <x:c r="J14" s="78" t="n">
        <x:f>J13/J5</x:f>
        <x:v>0.22900000000000004</x:v>
      </x:c>
      <x:c r="K14" s="78" t="n">
        <x:f>K13/K5</x:f>
        <x:v>0.23300000000000004</x:v>
      </x:c>
      <x:c r="L14" s="78" t="n">
        <x:f>L13/L5</x:f>
        <x:v>0.23700000000000002</x:v>
      </x:c>
      <x:c r="M14" s="57"/>
      <x:c r="N14" s="57" t="str">
        <x:v>2035E</x:v>
      </x:c>
      <x:c r="O14" s="67" t="n">
        <x:f>L24</x:f>
        <x:v>0.21</x:v>
      </x:c>
      <x:c r="P14" s="85" t="n">
        <x:f>L30</x:f>
        <x:v>0.175</x:v>
      </x:c>
    </x:row>
    <x:row r="15">
      <x:c r="A15" s="56" t="str">
        <x:v>D&amp;A / revenue</x:v>
      </x:c>
      <x:c r="B15" s="78" t="n">
        <x:f>'Historical'!H13/'Historical'!H5</x:f>
        <x:v>0.055216346227546016</x:v>
      </x:c>
      <x:c r="C15" s="78" t="n">
        <x:f>'Assumptions'!B9</x:f>
        <x:v>0.052</x:v>
      </x:c>
      <x:c r="D15" s="78" t="n">
        <x:f>'Assumptions'!C9</x:f>
        <x:v>0.052</x:v>
      </x:c>
      <x:c r="E15" s="78" t="n">
        <x:f>'Assumptions'!D9</x:f>
        <x:v>0.051</x:v>
      </x:c>
      <x:c r="F15" s="78" t="n">
        <x:f>'Assumptions'!E9</x:f>
        <x:v>0.05</x:v>
      </x:c>
      <x:c r="G15" s="78" t="n">
        <x:f>'Assumptions'!F9</x:f>
        <x:v>0.049</x:v>
      </x:c>
      <x:c r="H15" s="78" t="n">
        <x:f>'Assumptions'!G9</x:f>
        <x:v>0.048</x:v>
      </x:c>
      <x:c r="I15" s="78" t="n">
        <x:f>'Assumptions'!H9</x:f>
        <x:v>0.047</x:v>
      </x:c>
      <x:c r="J15" s="78" t="n">
        <x:f>'Assumptions'!I9</x:f>
        <x:v>0.046</x:v>
      </x:c>
      <x:c r="K15" s="78" t="n">
        <x:f>'Assumptions'!J9</x:f>
        <x:v>0.045</x:v>
      </x:c>
      <x:c r="L15" s="78" t="n">
        <x:f>'Assumptions'!K9</x:f>
        <x:v>0.044</x:v>
      </x:c>
      <x:c r="M15" s="57"/>
      <x:c r="N15" s="57"/>
      <x:c r="O15" s="57"/>
      <x:c r="P15" s="58"/>
    </x:row>
    <x:row r="16">
      <x:c r="A16" s="56" t="str">
        <x:v>D&amp;A</x:v>
      </x:c>
      <x:c r="B16" s="84" t="n">
        <x:f>'Historical'!H13</x:f>
        <x:v>72.039</x:v>
      </x:c>
      <x:c r="C16" s="84" t="n">
        <x:f>C5*C15</x:f>
        <x:v>94.536</x:v>
      </x:c>
      <x:c r="D16" s="84" t="n">
        <x:f>D5*D15</x:f>
        <x:v>109.66175999999997</x:v>
      </x:c>
      <x:c r="E16" s="84" t="n">
        <x:f>E5*E15</x:f>
        <x:v>119.3836968</x:v>
      </x:c>
      <x:c r="F16" s="84" t="n">
        <x:f>F5*F15</x:f>
        <x:v>132.2584092</x:v>
      </x:c>
      <x:c r="G16" s="84" t="n">
        <x:f>G5*G15</x:f>
        <x:v>143.87069752776</x:v>
      </x:c>
      <x:c r="H16" s="84" t="n">
        <x:f>H5*H15</x:f>
        <x:v>153.6186713194368</x:v>
      </x:c>
      <x:c r="I16" s="84" t="n">
        <x:f>I5*I15</x:f>
        <x:v>162.45174492030444</x:v>
      </x:c>
      <x:c r="J16" s="84" t="n">
        <x:f>J5*J15</x:f>
        <x:v>170.12499755271028</x:v>
      </x:c>
      <x:c r="K16" s="84" t="n">
        <x:f>K5*K15</x:f>
        <x:v>176.41222572313654</x:v>
      </x:c>
      <x:c r="L16" s="84" t="n">
        <x:f>L5*L15</x:f>
        <x:v>181.1165517424202</x:v>
      </x:c>
      <x:c r="M16" s="57"/>
      <x:c r="N16" s="57"/>
      <x:c r="O16" s="57"/>
      <x:c r="P16" s="58"/>
    </x:row>
    <x:row r="17">
      <x:c r="A17" s="56" t="str">
        <x:v>Normalised EBIT</x:v>
      </x:c>
      <x:c r="B17" s="84" t="n">
        <x:f>B13-B16</x:f>
        <x:v>5.372000000000028</x:v>
      </x:c>
      <x:c r="C17" s="84" t="n">
        <x:f>C13-C16</x:f>
        <x:v>100.71719999999999</x:v>
      </x:c>
      <x:c r="D17" s="84" t="n">
        <x:f>D13-D16</x:f>
        <x:v>194.01695999999998</x:v>
      </x:c>
      <x:c r="E17" s="84" t="n">
        <x:f>E13-E16</x:f>
        <x:v>314.8452396</x:v>
      </x:c>
      <x:c r="F17" s="84" t="n">
        <x:f>F13-F16</x:f>
        <x:v>386.194554864</x:v>
      </x:c>
      <x:c r="G17" s="84" t="n">
        <x:f>G13-G16</x:f>
        <x:v>460.9734594256799</x:v>
      </x:c>
      <x:c r="H17" s="84" t="n">
        <x:f>H13-H16</x:f>
        <x:v>539.2655441109396</x:v>
      </x:c>
      <x:c r="I17" s="84" t="n">
        <x:f>I13-I16</x:f>
        <x:v>613.5145685820008</x:v>
      </x:c>
      <x:c r="J17" s="84" t="n">
        <x:f>J13-J16</x:f>
        <x:v>676.8016206988259</x:v>
      </x:c>
      <x:c r="K17" s="84" t="n">
        <x:f>K13-K16</x:f>
        <x:v>737.0110763544374</x:v>
      </x:c>
      <x:c r="L17" s="84" t="n">
        <x:f>L13-L16</x:f>
        <x:v>794.4430565065252</x:v>
      </x:c>
      <x:c r="M17" s="57"/>
      <x:c r="N17" s="57"/>
      <x:c r="O17" s="57"/>
      <x:c r="P17" s="58"/>
    </x:row>
    <x:row r="18">
      <x:c r="A18" s="56" t="str">
        <x:v>Cash interest, net</x:v>
      </x:c>
      <x:c r="B18" s="84" t="n">
        <x:f>0</x:f>
        <x:v>0</x:v>
      </x:c>
      <x:c r="C18" s="84" t="n">
        <x:f>'Assumptions'!B11</x:f>
        <x:v>5</x:v>
      </x:c>
      <x:c r="D18" s="84" t="n">
        <x:f>'Assumptions'!C11</x:f>
        <x:v>5</x:v>
      </x:c>
      <x:c r="E18" s="84" t="n">
        <x:f>'Assumptions'!D11</x:f>
        <x:v>4</x:v>
      </x:c>
      <x:c r="F18" s="84" t="n">
        <x:f>'Assumptions'!E11</x:f>
        <x:v>3</x:v>
      </x:c>
      <x:c r="G18" s="84" t="n">
        <x:f>'Assumptions'!F11</x:f>
        <x:v>2</x:v>
      </x:c>
      <x:c r="H18" s="84" t="n">
        <x:f>'Assumptions'!G11</x:f>
        <x:v>0</x:v>
      </x:c>
      <x:c r="I18" s="84" t="n">
        <x:f>'Assumptions'!H11</x:f>
        <x:v>-2</x:v>
      </x:c>
      <x:c r="J18" s="84" t="n">
        <x:f>'Assumptions'!I11</x:f>
        <x:v>-4</x:v>
      </x:c>
      <x:c r="K18" s="84" t="n">
        <x:f>'Assumptions'!J11</x:f>
        <x:v>-6</x:v>
      </x:c>
      <x:c r="L18" s="84" t="n">
        <x:f>'Assumptions'!K11</x:f>
        <x:v>-8</x:v>
      </x:c>
      <x:c r="M18" s="57"/>
      <x:c r="N18" s="57"/>
      <x:c r="O18" s="57"/>
      <x:c r="P18" s="58"/>
    </x:row>
    <x:row r="19">
      <x:c r="A19" s="56" t="str">
        <x:v>Pre-tax normalised income</x:v>
      </x:c>
      <x:c r="B19" s="84" t="n">
        <x:f>B17-B18</x:f>
        <x:v>5.372000000000028</x:v>
      </x:c>
      <x:c r="C19" s="84" t="n">
        <x:f>C17-C18</x:f>
        <x:v>95.71719999999999</x:v>
      </x:c>
      <x:c r="D19" s="84" t="n">
        <x:f>D17-D18</x:f>
        <x:v>189.01695999999998</x:v>
      </x:c>
      <x:c r="E19" s="84" t="n">
        <x:f>E17-E18</x:f>
        <x:v>310.8452396</x:v>
      </x:c>
      <x:c r="F19" s="84" t="n">
        <x:f>F17-F18</x:f>
        <x:v>383.194554864</x:v>
      </x:c>
      <x:c r="G19" s="84" t="n">
        <x:f>G17-G18</x:f>
        <x:v>458.9734594256799</x:v>
      </x:c>
      <x:c r="H19" s="84" t="n">
        <x:f>H17-H18</x:f>
        <x:v>539.2655441109396</x:v>
      </x:c>
      <x:c r="I19" s="84" t="n">
        <x:f>I17-I18</x:f>
        <x:v>615.5145685820008</x:v>
      </x:c>
      <x:c r="J19" s="84" t="n">
        <x:f>J17-J18</x:f>
        <x:v>680.8016206988259</x:v>
      </x:c>
      <x:c r="K19" s="84" t="n">
        <x:f>K17-K18</x:f>
        <x:v>743.0110763544374</x:v>
      </x:c>
      <x:c r="L19" s="84" t="n">
        <x:f>L17-L18</x:f>
        <x:v>802.4430565065252</x:v>
      </x:c>
      <x:c r="M19" s="57"/>
      <x:c r="N19" s="57"/>
      <x:c r="O19" s="57"/>
      <x:c r="P19" s="58"/>
    </x:row>
    <x:row r="20">
      <x:c r="A20" s="56" t="str">
        <x:v>Cash tax</x:v>
      </x:c>
      <x:c r="B20" s="84" t="n">
        <x:f>0</x:f>
        <x:v>0</x:v>
      </x:c>
      <x:c r="C20" s="84" t="n">
        <x:f>MAX(0,C19*'Assumptions'!B12)</x:f>
        <x:v>14.357579999999999</x:v>
      </x:c>
      <x:c r="D20" s="84" t="n">
        <x:f>MAX(0,D19*'Assumptions'!C12)</x:f>
        <x:v>34.023052799999995</x:v>
      </x:c>
      <x:c r="E20" s="84" t="n">
        <x:f>MAX(0,E19*'Assumptions'!D12)</x:f>
        <x:v>62.169047920000004</x:v>
      </x:c>
      <x:c r="F20" s="84" t="n">
        <x:f>MAX(0,F19*'Assumptions'!E12)</x:f>
        <x:v>84.30280207008</x:v>
      </x:c>
      <x:c r="G20" s="84" t="n">
        <x:f>MAX(0,G19*'Assumptions'!F12)</x:f>
        <x:v>105.56389566790638</x:v>
      </x:c>
      <x:c r="H20" s="84" t="n">
        <x:f>MAX(0,H19*'Assumptions'!G12)</x:f>
        <x:v>129.42373058662548</x:v>
      </x:c>
      <x:c r="I20" s="84" t="n">
        <x:f>MAX(0,I19*'Assumptions'!H12)</x:f>
        <x:v>153.8786421455002</x:v>
      </x:c>
      <x:c r="J20" s="84" t="n">
        <x:f>MAX(0,J19*'Assumptions'!I12)</x:f>
        <x:v>170.20040517470648</x:v>
      </x:c>
      <x:c r="K20" s="84" t="n">
        <x:f>MAX(0,K19*'Assumptions'!J12)</x:f>
        <x:v>185.75276908860934</x:v>
      </x:c>
      <x:c r="L20" s="84" t="n">
        <x:f>MAX(0,L19*'Assumptions'!K12)</x:f>
        <x:v>200.6107641266313</x:v>
      </x:c>
      <x:c r="M20" s="57"/>
      <x:c r="N20" s="57"/>
      <x:c r="O20" s="57"/>
      <x:c r="P20" s="58"/>
    </x:row>
    <x:row r="21">
      <x:c r="A21" s="56" t="str">
        <x:v>Normalised net income</x:v>
      </x:c>
      <x:c r="B21" s="84" t="n">
        <x:f>B19-B20</x:f>
        <x:v>5.372000000000028</x:v>
      </x:c>
      <x:c r="C21" s="84" t="n">
        <x:f>C19-C20</x:f>
        <x:v>81.35961999999999</x:v>
      </x:c>
      <x:c r="D21" s="84" t="n">
        <x:f>D19-D20</x:f>
        <x:v>154.9939072</x:v>
      </x:c>
      <x:c r="E21" s="84" t="n">
        <x:f>E19-E20</x:f>
        <x:v>248.67619168000002</x:v>
      </x:c>
      <x:c r="F21" s="84" t="n">
        <x:f>F19-F20</x:f>
        <x:v>298.89175279392</x:v>
      </x:c>
      <x:c r="G21" s="84" t="n">
        <x:f>G19-G20</x:f>
        <x:v>353.4095637577735</x:v>
      </x:c>
      <x:c r="H21" s="84" t="n">
        <x:f>H19-H20</x:f>
        <x:v>409.8418135243141</x:v>
      </x:c>
      <x:c r="I21" s="84" t="n">
        <x:f>I19-I20</x:f>
        <x:v>461.63592643650065</x:v>
      </x:c>
      <x:c r="J21" s="84" t="n">
        <x:f>J19-J20</x:f>
        <x:v>510.6012155241194</x:v>
      </x:c>
      <x:c r="K21" s="84" t="n">
        <x:f>K19-K20</x:f>
        <x:v>557.2583072658281</x:v>
      </x:c>
      <x:c r="L21" s="84" t="n">
        <x:f>L19-L20</x:f>
        <x:v>601.8322923798939</x:v>
      </x:c>
      <x:c r="M21" s="57"/>
      <x:c r="N21" s="57"/>
      <x:c r="O21" s="57"/>
      <x:c r="P21" s="58"/>
    </x:row>
    <x:row r="22">
      <x:c r="A22" s="56" t="str">
        <x:v>Diluted shares</x:v>
      </x:c>
      <x:c r="B22" s="81" t="n">
        <x:f>'Historical'!H36</x:f>
        <x:v>220.722814</x:v>
      </x:c>
      <x:c r="C22" s="81" t="n">
        <x:f>B22*(1+'Assumptions'!B13)</x:f>
        <x:v>256.58152700963916</x:v>
      </x:c>
      <x:c r="D22" s="81" t="n">
        <x:f>C22*(1+'Assumptions'!C13)</x:f>
        <x:v>264.27897281992836</x:v>
      </x:c>
      <x:c r="E22" s="81" t="n">
        <x:f>D22*(1+'Assumptions'!D13)</x:f>
        <x:v>270.88594714042654</x:v>
      </x:c>
      <x:c r="F22" s="81" t="n">
        <x:f>E22*(1+'Assumptions'!E13)</x:f>
        <x:v>276.3036660832351</x:v>
      </x:c>
      <x:c r="G22" s="81" t="n">
        <x:f>F22*(1+'Assumptions'!F13)</x:f>
        <x:v>280.4482210744836</x:v>
      </x:c>
      <x:c r="H22" s="81" t="n">
        <x:f>G22*(1+'Assumptions'!G13)</x:f>
        <x:v>283.25270328522845</x:v>
      </x:c>
      <x:c r="I22" s="81" t="n">
        <x:f>H22*(1+'Assumptions'!H13)</x:f>
        <x:v>286.08523031808073</x:v>
      </x:c>
      <x:c r="J22" s="81" t="n">
        <x:f>I22*(1+'Assumptions'!I13)</x:f>
        <x:v>287.5156564696711</x:v>
      </x:c>
      <x:c r="K22" s="81" t="n">
        <x:f>J22*(1+'Assumptions'!J13)</x:f>
        <x:v>288.95323475201945</x:v>
      </x:c>
      <x:c r="L22" s="81" t="n">
        <x:f>K22*(1+'Assumptions'!K13)</x:f>
        <x:v>290.3980009257795</x:v>
      </x:c>
      <x:c r="M22" s="57"/>
      <x:c r="N22" s="57"/>
      <x:c r="O22" s="57"/>
      <x:c r="P22" s="58"/>
    </x:row>
    <x:row r="23">
      <x:c r="A23" s="56" t="str">
        <x:v>Normalised EPS</x:v>
      </x:c>
      <x:c r="B23" s="79" t="n">
        <x:f>B21/B22</x:f>
        <x:v>0.024338218159904522</x:v>
      </x:c>
      <x:c r="C23" s="79" t="n">
        <x:f>C21/C22</x:f>
        <x:v>0.3170907155640379</x:v>
      </x:c>
      <x:c r="D23" s="79" t="n">
        <x:f>D21/D22</x:f>
        <x:v>0.5864783926854753</x:v>
      </x:c>
      <x:c r="E23" s="79" t="n">
        <x:f>E21/E22</x:f>
        <x:v>0.9180106768369455</x:v>
      </x:c>
      <x:c r="F23" s="79" t="n">
        <x:f>F21/F22</x:f>
        <x:v>1.0817509482624104</x:v>
      </x:c>
      <x:c r="G23" s="79" t="n">
        <x:f>G21/G22</x:f>
        <x:v>1.2601597628387604</x:v>
      </x:c>
      <x:c r="H23" s="79" t="n">
        <x:f>H21/H22</x:f>
        <x:v>1.4469122757554533</x:v>
      </x:c>
      <x:c r="I23" s="79" t="n">
        <x:f>I21/I22</x:f>
        <x:v>1.6136307558528478</x:v>
      </x:c>
      <x:c r="J23" s="79" t="n">
        <x:f>J21/J22</x:f>
        <x:v>1.775907516806761</x:v>
      </x:c>
      <x:c r="K23" s="79" t="n">
        <x:f>K21/K22</x:f>
        <x:v>1.928541508608024</x:v>
      </x:c>
      <x:c r="L23" s="79" t="n">
        <x:f>L21/L22</x:f>
        <x:v>2.072439515634653</x:v>
      </x:c>
      <x:c r="M23" s="57"/>
      <x:c r="N23" s="57"/>
      <x:c r="O23" s="57"/>
      <x:c r="P23" s="58"/>
    </x:row>
    <x:row r="24">
      <x:c r="A24" s="56" t="str">
        <x:v>Company FCF margin</x:v>
      </x:c>
      <x:c r="B24" s="78" t="n">
        <x:f>'Historical'!H27</x:f>
        <x:v>0.12626124040752132</x:v>
      </x:c>
      <x:c r="C24" s="78" t="n">
        <x:f>'Historical'!I27</x:f>
        <x:v>0.14042904290429042</x:v>
      </x:c>
      <x:c r="D24" s="78" t="n">
        <x:f>'Assumptions'!C7</x:f>
        <x:v>0.15</x:v>
      </x:c>
      <x:c r="E24" s="78" t="n">
        <x:f>'Assumptions'!D7</x:f>
        <x:v>0.161</x:v>
      </x:c>
      <x:c r="F24" s="78" t="n">
        <x:f>'Assumptions'!E7</x:f>
        <x:v>0.17</x:v>
      </x:c>
      <x:c r="G24" s="78" t="n">
        <x:f>'Assumptions'!F7</x:f>
        <x:v>0.18</x:v>
      </x:c>
      <x:c r="H24" s="78" t="n">
        <x:f>'Assumptions'!G7</x:f>
        <x:v>0.19</x:v>
      </x:c>
      <x:c r="I24" s="78" t="n">
        <x:f>'Assumptions'!H7</x:f>
        <x:v>0.195</x:v>
      </x:c>
      <x:c r="J24" s="78" t="n">
        <x:f>'Assumptions'!I7</x:f>
        <x:v>0.2</x:v>
      </x:c>
      <x:c r="K24" s="78" t="n">
        <x:f>'Assumptions'!J7</x:f>
        <x:v>0.205</x:v>
      </x:c>
      <x:c r="L24" s="78" t="n">
        <x:f>'Assumptions'!K7</x:f>
        <x:v>0.21</x:v>
      </x:c>
      <x:c r="M24" s="57"/>
      <x:c r="N24" s="57"/>
      <x:c r="O24" s="57"/>
      <x:c r="P24" s="58"/>
    </x:row>
    <x:row r="25">
      <x:c r="A25" s="56" t="str">
        <x:v>Company-reported FCF</x:v>
      </x:c>
      <x:c r="B25" s="84" t="n">
        <x:f>'Historical'!H26</x:f>
        <x:v>164.729</x:v>
      </x:c>
      <x:c r="C25" s="84" t="n">
        <x:f>'Historical'!I26</x:f>
        <x:v>255.3</x:v>
      </x:c>
      <x:c r="D25" s="84" t="n">
        <x:f>D5*D24</x:f>
        <x:v>316.33199999999994</x:v>
      </x:c>
      <x:c r="E25" s="84" t="n">
        <x:f>E5*E24</x:f>
        <x:v>376.8779448</x:v>
      </x:c>
      <x:c r="F25" s="84" t="n">
        <x:f>F5*F24</x:f>
        <x:v>449.67859128</x:v>
      </x:c>
      <x:c r="G25" s="84" t="n">
        <x:f>G5*G24</x:f>
        <x:v>528.5046031631999</x:v>
      </x:c>
      <x:c r="H25" s="84" t="n">
        <x:f>H5*H24</x:f>
        <x:v>608.0739073061039</x:v>
      </x:c>
      <x:c r="I25" s="84" t="n">
        <x:f>I5*I24</x:f>
        <x:v>674.001920414029</x:v>
      </x:c>
      <x:c r="J25" s="84" t="n">
        <x:f>J5*J24</x:f>
        <x:v>739.6739024030883</x:v>
      </x:c>
      <x:c r="K25" s="84" t="n">
        <x:f>K5*K24</x:f>
        <x:v>803.6556949609553</x:v>
      </x:c>
      <x:c r="L25" s="84" t="n">
        <x:f>L5*L24</x:f>
        <x:v>864.4199060433691</x:v>
      </x:c>
      <x:c r="M25" s="57"/>
      <x:c r="N25" s="57"/>
      <x:c r="O25" s="57"/>
      <x:c r="P25" s="58"/>
    </x:row>
    <x:row r="26">
      <x:c r="A26" s="56" t="str">
        <x:v>Net borrowing</x:v>
      </x:c>
      <x:c r="B26" s="84" t="n">
        <x:f>'Historical'!H28</x:f>
        <x:v>0</x:v>
      </x:c>
      <x:c r="C26" s="84" t="n">
        <x:f>'Assumptions'!B41</x:f>
        <x:v>50</x:v>
      </x:c>
      <x:c r="D26" s="84" t="n">
        <x:f>'Assumptions'!C41</x:f>
        <x:v>0</x:v>
      </x:c>
      <x:c r="E26" s="84" t="n">
        <x:f>'Assumptions'!D41</x:f>
        <x:v>0</x:v>
      </x:c>
      <x:c r="F26" s="84" t="n">
        <x:f>'Assumptions'!E41</x:f>
        <x:v>0</x:v>
      </x:c>
      <x:c r="G26" s="84" t="n">
        <x:f>'Assumptions'!F41</x:f>
        <x:v>0</x:v>
      </x:c>
      <x:c r="H26" s="84" t="n">
        <x:f>'Assumptions'!G41</x:f>
        <x:v>0</x:v>
      </x:c>
      <x:c r="I26" s="84" t="n">
        <x:f>'Assumptions'!H41</x:f>
        <x:v>0</x:v>
      </x:c>
      <x:c r="J26" s="84" t="n">
        <x:f>'Assumptions'!I41</x:f>
        <x:v>0</x:v>
      </x:c>
      <x:c r="K26" s="84" t="n">
        <x:f>'Assumptions'!J41</x:f>
        <x:v>0</x:v>
      </x:c>
      <x:c r="L26" s="84" t="n">
        <x:f>'Assumptions'!K41</x:f>
        <x:v>0</x:v>
      </x:c>
      <x:c r="M26" s="57"/>
      <x:c r="N26" s="57"/>
      <x:c r="O26" s="57"/>
      <x:c r="P26" s="58"/>
    </x:row>
    <x:row r="27">
      <x:c r="A27" s="56" t="str">
        <x:v>Standard FCFE</x:v>
      </x:c>
      <x:c r="B27" s="84" t="n">
        <x:f>'Historical'!H29</x:f>
        <x:v>164.994</x:v>
      </x:c>
      <x:c r="C27" s="84" t="n">
        <x:f>C25+C26</x:f>
        <x:v>305.3</x:v>
      </x:c>
      <x:c r="D27" s="84" t="n">
        <x:f>D25+D26</x:f>
        <x:v>316.33199999999994</x:v>
      </x:c>
      <x:c r="E27" s="84" t="n">
        <x:f>E25+E26</x:f>
        <x:v>376.8779448</x:v>
      </x:c>
      <x:c r="F27" s="84" t="n">
        <x:f>F25+F26</x:f>
        <x:v>449.67859128</x:v>
      </x:c>
      <x:c r="G27" s="84" t="n">
        <x:f>G25+G26</x:f>
        <x:v>528.5046031631999</x:v>
      </x:c>
      <x:c r="H27" s="84" t="n">
        <x:f>H25+H26</x:f>
        <x:v>608.0739073061039</x:v>
      </x:c>
      <x:c r="I27" s="84" t="n">
        <x:f>I25+I26</x:f>
        <x:v>674.001920414029</x:v>
      </x:c>
      <x:c r="J27" s="84" t="n">
        <x:f>J25+J26</x:f>
        <x:v>739.6739024030883</x:v>
      </x:c>
      <x:c r="K27" s="84" t="n">
        <x:f>K25+K26</x:f>
        <x:v>803.6556949609553</x:v>
      </x:c>
      <x:c r="L27" s="84" t="n">
        <x:f>L25+L26</x:f>
        <x:v>864.4199060433691</x:v>
      </x:c>
      <x:c r="M27" s="57"/>
      <x:c r="N27" s="57"/>
      <x:c r="O27" s="57"/>
      <x:c r="P27" s="58"/>
    </x:row>
    <x:row r="28">
      <x:c r="A28" s="56" t="str">
        <x:v>Standard FCFE / diluted share</x:v>
      </x:c>
      <x:c r="B28" s="79" t="n">
        <x:f>B27/B22</x:f>
        <x:v>0.747516747407905</x:v>
      </x:c>
      <x:c r="C28" s="79" t="n">
        <x:f>C27/C22</x:f>
        <x:v>1.1898752164980708</x:v>
      </x:c>
      <x:c r="D28" s="79" t="n">
        <x:f>D27/D22</x:f>
        <x:v>1.1969624243073584</x:v>
      </x:c>
      <x:c r="E28" s="79" t="n">
        <x:f>E27/E22</x:f>
        <x:v>1.3912790559217438</x:v>
      </x:c>
      <x:c r="F28" s="79" t="n">
        <x:f>F27/F22</x:f>
        <x:v>1.6274796409850623</x:v>
      </x:c>
      <x:c r="G28" s="79" t="n">
        <x:f>G27/G22</x:f>
        <x:v>1.884499752354769</x:v>
      </x:c>
      <x:c r="H28" s="79" t="n">
        <x:f>H27/H22</x:f>
        <x:v>2.146754118331533</x:v>
      </x:c>
      <x:c r="I28" s="79" t="n">
        <x:f>I27/I22</x:f>
        <x:v>2.355947979784372</x:v>
      </x:c>
      <x:c r="J28" s="79" t="n">
        <x:f>J27/J22</x:f>
        <x:v>2.572638692046718</x:v>
      </x:c>
      <x:c r="K28" s="79" t="n">
        <x:f>K27/K22</x:f>
        <x:v>2.781265610854487</x:v>
      </x:c>
      <x:c r="L28" s="79" t="n">
        <x:f>L27/L22</x:f>
        <x:v>2.9766730600335616</x:v>
      </x:c>
      <x:c r="M28" s="57"/>
      <x:c r="N28" s="57"/>
      <x:c r="O28" s="57"/>
      <x:c r="P28" s="58"/>
    </x:row>
    <x:row r="29">
      <x:c r="A29" s="56" t="str">
        <x:v>SBC-adjusted FCF</x:v>
      </x:c>
      <x:c r="B29" s="84" t="n">
        <x:f>'Historical'!H34</x:f>
        <x:v>-13.091999999999985</x:v>
      </x:c>
      <x:c r="C29" s="84" t="n">
        <x:f>C25-C10</x:f>
        <x:v>55.13820000000001</x:v>
      </x:c>
      <x:c r="D29" s="84" t="n">
        <x:f>D25-D10</x:f>
        <x:v>137.07719999999995</x:v>
      </x:c>
      <x:c r="E29" s="84" t="n">
        <x:f>E25-E10</x:f>
        <x:v>236.42653680000004</x:v>
      </x:c>
      <x:c r="F29" s="84" t="n">
        <x:f>F25-F10</x:f>
        <x:v>304.19434116</x:v>
      </x:c>
      <x:c r="G29" s="84" t="n">
        <x:f>G25-G10</x:f>
        <x:v>381.6977689511999</x:v>
      </x:c>
      <x:c r="H29" s="84" t="n">
        <x:f>H25-H10</x:f>
        <x:v>464.05640294413195</x:v>
      </x:c>
      <x:c r="I29" s="84" t="n">
        <x:f>I25-I10</x:f>
        <x:v>528.8322760171611</x:v>
      </x:c>
      <x:c r="J29" s="84" t="n">
        <x:f>J25-J10</x:f>
        <x:v>591.7391219224706</x:v>
      </x:c>
      <x:c r="K29" s="84" t="n">
        <x:f>K25-K10</x:f>
        <x:v>654.6853710169734</x:v>
      </x:c>
      <x:c r="L29" s="84" t="n">
        <x:f>L25-L10</x:f>
        <x:v>720.3499217028076</x:v>
      </x:c>
      <x:c r="M29" s="57"/>
      <x:c r="N29" s="57"/>
      <x:c r="O29" s="57"/>
      <x:c r="P29" s="58"/>
    </x:row>
    <x:row r="30">
      <x:c r="A30" s="56" t="str">
        <x:v>SBC-adjusted FCF margin</x:v>
      </x:c>
      <x:c r="B30" s="78" t="n">
        <x:f>'Historical'!H35</x:f>
        <x:v>-0.010034736806605195</x:v>
      </x:c>
      <x:c r="C30" s="78" t="n">
        <x:f>C29/C5</x:f>
        <x:v>0.030329042904290435</x:v>
      </x:c>
      <x:c r="D30" s="78" t="n">
        <x:f>D29/D5</x:f>
        <x:v>0.06499999999999999</x:v>
      </x:c>
      <x:c r="E30" s="78" t="n">
        <x:f>E29/E5</x:f>
        <x:v>0.10100000000000002</x:v>
      </x:c>
      <x:c r="F30" s="78" t="n">
        <x:f>F29/F5</x:f>
        <x:v>0.11500000000000002</x:v>
      </x:c>
      <x:c r="G30" s="78" t="n">
        <x:f>G29/G5</x:f>
        <x:v>0.12999999999999998</x:v>
      </x:c>
      <x:c r="H30" s="78" t="n">
        <x:f>H29/H5</x:f>
        <x:v>0.145</x:v>
      </x:c>
      <x:c r="I30" s="78" t="n">
        <x:f>I29/I5</x:f>
        <x:v>0.15299999999999997</x:v>
      </x:c>
      <x:c r="J30" s="78" t="n">
        <x:f>J29/J5</x:f>
        <x:v>0.16</x:v>
      </x:c>
      <x:c r="K30" s="78" t="n">
        <x:f>K29/K5</x:f>
        <x:v>0.16699999999999998</x:v>
      </x:c>
      <x:c r="L30" s="78" t="n">
        <x:f>L29/L5</x:f>
        <x:v>0.175</x:v>
      </x:c>
      <x:c r="M30" s="57"/>
      <x:c r="N30" s="57"/>
      <x:c r="O30" s="57"/>
      <x:c r="P30" s="58"/>
    </x:row>
    <x:row r="31">
      <x:c r="A31" s="56" t="str">
        <x:v>SBC-adjusted FCF / diluted share</x:v>
      </x:c>
      <x:c r="B31" s="79" t="n">
        <x:f>B29/B22</x:f>
        <x:v>-0.05931421298389203</x:v>
      </x:c>
      <x:c r="C31" s="79" t="n">
        <x:f>C29/C22</x:f>
        <x:v>0.21489543944419895</x:v>
      </x:c>
      <x:c r="D31" s="79" t="n">
        <x:f>D29/D22</x:f>
        <x:v>0.5186837171998553</x:v>
      </x:c>
      <x:c r="E31" s="79" t="n">
        <x:f>E29/E22</x:f>
        <x:v>0.8727899667583611</x:v>
      </x:c>
      <x:c r="F31" s="79" t="n">
        <x:f>F29/F22</x:f>
        <x:v>1.1009421100781305</x:v>
      </x:c>
      <x:c r="G31" s="79" t="n">
        <x:f>G29/G22</x:f>
        <x:v>1.3610275989228886</x:v>
      </x:c>
      <x:c r="H31" s="79" t="n">
        <x:f>H29/H22</x:f>
        <x:v>1.6383123534635384</x:v>
      </x:c>
      <x:c r="I31" s="79" t="n">
        <x:f>I29/I22</x:f>
        <x:v>1.848513030292353</x:v>
      </x:c>
      <x:c r="J31" s="79" t="n">
        <x:f>J29/J22</x:f>
        <x:v>2.0581109536373745</x:v>
      </x:c>
      <x:c r="K31" s="79" t="n">
        <x:f>K29/K22</x:f>
        <x:v>2.265713936647314</x:v>
      </x:c>
      <x:c r="L31" s="79" t="n">
        <x:f>L29/L22</x:f>
        <x:v>2.480560883361301</x:v>
      </x:c>
      <x:c r="M31" s="57"/>
      <x:c r="N31" s="57"/>
      <x:c r="O31" s="57"/>
      <x:c r="P31" s="58"/>
    </x:row>
    <x:row r="32">
      <x:c r="A32" s="56"/>
      <x:c r="B32" s="57"/>
      <x:c r="C32" s="57"/>
      <x:c r="D32" s="57"/>
      <x:c r="E32" s="57"/>
      <x:c r="F32" s="57"/>
      <x:c r="G32" s="57"/>
      <x:c r="H32" s="57"/>
      <x:c r="I32" s="57"/>
      <x:c r="J32" s="57"/>
      <x:c r="K32" s="57"/>
      <x:c r="L32" s="57"/>
      <x:c r="M32" s="57"/>
      <x:c r="N32" s="57"/>
      <x:c r="O32" s="57"/>
      <x:c r="P32" s="58"/>
    </x:row>
    <x:row r="33">
      <x:c r="A33" s="70" t="str">
        <x:v>Base case reaches approximately $2.34bn revenue in 2028, close to management's $2.3bn+ target. Standard FCFE includes net borrowing and therefore should not be read as an operating-performance measure. The primary SBC-adjusted FCF margin improves as company FCF scales and SBC intensity falls, but does not assume SBC disappears. Normalised EPS is an analytical after-tax earnings measure, not company guidance or consensus.</x:v>
      </x:c>
      <x:c r="B33" s="71" t="str">
        <x:v>Base case reaches approximately $2.34bn revenue in 2028, close to management's $2.3bn+ target. Standard FCFE includes net borrowing and therefore should not be read as an operating-performance measure. The primary SBC-adjusted FCF margin improves as company FCF scales and SBC intensity falls, but does not assume SBC disappears. Normalised EPS is an analytical after-tax earnings measure, not company guidance or consensus.</x:v>
      </x:c>
      <x:c r="C33" s="71" t="str">
        <x:v>Base case reaches approximately $2.34bn revenue in 2028, close to management's $2.3bn+ target. Standard FCFE includes net borrowing and therefore should not be read as an operating-performance measure. The primary SBC-adjusted FCF margin improves as company FCF scales and SBC intensity falls, but does not assume SBC disappears. Normalised EPS is an analytical after-tax earnings measure, not company guidance or consensus.</x:v>
      </x:c>
      <x:c r="D33" s="71" t="str">
        <x:v>Base case reaches approximately $2.34bn revenue in 2028, close to management's $2.3bn+ target. Standard FCFE includes net borrowing and therefore should not be read as an operating-performance measure. The primary SBC-adjusted FCF margin improves as company FCF scales and SBC intensity falls, but does not assume SBC disappears. Normalised EPS is an analytical after-tax earnings measure, not company guidance or consensus.</x:v>
      </x:c>
      <x:c r="E33" s="71" t="str">
        <x:v>Base case reaches approximately $2.34bn revenue in 2028, close to management's $2.3bn+ target. Standard FCFE includes net borrowing and therefore should not be read as an operating-performance measure. The primary SBC-adjusted FCF margin improves as company FCF scales and SBC intensity falls, but does not assume SBC disappears. Normalised EPS is an analytical after-tax earnings measure, not company guidance or consensus.</x:v>
      </x:c>
      <x:c r="F33" s="71" t="str">
        <x:v>Base case reaches approximately $2.34bn revenue in 2028, close to management's $2.3bn+ target. Standard FCFE includes net borrowing and therefore should not be read as an operating-performance measure. The primary SBC-adjusted FCF margin improves as company FCF scales and SBC intensity falls, but does not assume SBC disappears. Normalised EPS is an analytical after-tax earnings measure, not company guidance or consensus.</x:v>
      </x:c>
      <x:c r="G33" s="71" t="str">
        <x:v>Base case reaches approximately $2.34bn revenue in 2028, close to management's $2.3bn+ target. Standard FCFE includes net borrowing and therefore should not be read as an operating-performance measure. The primary SBC-adjusted FCF margin improves as company FCF scales and SBC intensity falls, but does not assume SBC disappears. Normalised EPS is an analytical after-tax earnings measure, not company guidance or consensus.</x:v>
      </x:c>
      <x:c r="H33" s="71" t="str">
        <x:v>Base case reaches approximately $2.34bn revenue in 2028, close to management's $2.3bn+ target. Standard FCFE includes net borrowing and therefore should not be read as an operating-performance measure. The primary SBC-adjusted FCF margin improves as company FCF scales and SBC intensity falls, but does not assume SBC disappears. Normalised EPS is an analytical after-tax earnings measure, not company guidance or consensus.</x:v>
      </x:c>
      <x:c r="I33" s="71" t="str">
        <x:v>Base case reaches approximately $2.34bn revenue in 2028, close to management's $2.3bn+ target. Standard FCFE includes net borrowing and therefore should not be read as an operating-performance measure. The primary SBC-adjusted FCF margin improves as company FCF scales and SBC intensity falls, but does not assume SBC disappears. Normalised EPS is an analytical after-tax earnings measure, not company guidance or consensus.</x:v>
      </x:c>
      <x:c r="J33" s="71" t="str">
        <x:v>Base case reaches approximately $2.34bn revenue in 2028, close to management's $2.3bn+ target. Standard FCFE includes net borrowing and therefore should not be read as an operating-performance measure. The primary SBC-adjusted FCF margin improves as company FCF scales and SBC intensity falls, but does not assume SBC disappears. Normalised EPS is an analytical after-tax earnings measure, not company guidance or consensus.</x:v>
      </x:c>
      <x:c r="K33" s="71" t="str">
        <x:v>Base case reaches approximately $2.34bn revenue in 2028, close to management's $2.3bn+ target. Standard FCFE includes net borrowing and therefore should not be read as an operating-performance measure. The primary SBC-adjusted FCF margin improves as company FCF scales and SBC intensity falls, but does not assume SBC disappears. Normalised EPS is an analytical after-tax earnings measure, not company guidance or consensus.</x:v>
      </x:c>
      <x:c r="L33" s="71" t="str">
        <x:v>Base case reaches approximately $2.34bn revenue in 2028, close to management's $2.3bn+ target. Standard FCFE includes net borrowing and therefore should not be read as an operating-performance measure. The primary SBC-adjusted FCF margin improves as company FCF scales and SBC intensity falls, but does not assume SBC disappears. Normalised EPS is an analytical after-tax earnings measure, not company guidance or consensus.</x:v>
      </x:c>
      <x:c r="M33" s="57"/>
      <x:c r="N33" s="57"/>
      <x:c r="O33" s="57"/>
      <x:c r="P33" s="58"/>
    </x:row>
    <x:row r="34">
      <x:c r="A34" s="70" t="str">
        <x:v>Base case reaches approximately $2.34bn revenue in 2028, close to management's $2.3bn+ target. Standard FCFE includes net borrowing and therefore should not be read as an operating-performance measure. The primary SBC-adjusted FCF margin improves as company FCF scales and SBC intensity falls, but does not assume SBC disappears. Normalised EPS is an analytical after-tax earnings measure, not company guidance or consensus.</x:v>
      </x:c>
      <x:c r="B34" s="71" t="str">
        <x:v>Base case reaches approximately $2.34bn revenue in 2028, close to management's $2.3bn+ target. Standard FCFE includes net borrowing and therefore should not be read as an operating-performance measure. The primary SBC-adjusted FCF margin improves as company FCF scales and SBC intensity falls, but does not assume SBC disappears. Normalised EPS is an analytical after-tax earnings measure, not company guidance or consensus.</x:v>
      </x:c>
      <x:c r="C34" s="71" t="str">
        <x:v>Base case reaches approximately $2.34bn revenue in 2028, close to management's $2.3bn+ target. Standard FCFE includes net borrowing and therefore should not be read as an operating-performance measure. The primary SBC-adjusted FCF margin improves as company FCF scales and SBC intensity falls, but does not assume SBC disappears. Normalised EPS is an analytical after-tax earnings measure, not company guidance or consensus.</x:v>
      </x:c>
      <x:c r="D34" s="71" t="str">
        <x:v>Base case reaches approximately $2.34bn revenue in 2028, close to management's $2.3bn+ target. Standard FCFE includes net borrowing and therefore should not be read as an operating-performance measure. The primary SBC-adjusted FCF margin improves as company FCF scales and SBC intensity falls, but does not assume SBC disappears. Normalised EPS is an analytical after-tax earnings measure, not company guidance or consensus.</x:v>
      </x:c>
      <x:c r="E34" s="71" t="str">
        <x:v>Base case reaches approximately $2.34bn revenue in 2028, close to management's $2.3bn+ target. Standard FCFE includes net borrowing and therefore should not be read as an operating-performance measure. The primary SBC-adjusted FCF margin improves as company FCF scales and SBC intensity falls, but does not assume SBC disappears. Normalised EPS is an analytical after-tax earnings measure, not company guidance or consensus.</x:v>
      </x:c>
      <x:c r="F34" s="71" t="str">
        <x:v>Base case reaches approximately $2.34bn revenue in 2028, close to management's $2.3bn+ target. Standard FCFE includes net borrowing and therefore should not be read as an operating-performance measure. The primary SBC-adjusted FCF margin improves as company FCF scales and SBC intensity falls, but does not assume SBC disappears. Normalised EPS is an analytical after-tax earnings measure, not company guidance or consensus.</x:v>
      </x:c>
      <x:c r="G34" s="71" t="str">
        <x:v>Base case reaches approximately $2.34bn revenue in 2028, close to management's $2.3bn+ target. Standard FCFE includes net borrowing and therefore should not be read as an operating-performance measure. The primary SBC-adjusted FCF margin improves as company FCF scales and SBC intensity falls, but does not assume SBC disappears. Normalised EPS is an analytical after-tax earnings measure, not company guidance or consensus.</x:v>
      </x:c>
      <x:c r="H34" s="71" t="str">
        <x:v>Base case reaches approximately $2.34bn revenue in 2028, close to management's $2.3bn+ target. Standard FCFE includes net borrowing and therefore should not be read as an operating-performance measure. The primary SBC-adjusted FCF margin improves as company FCF scales and SBC intensity falls, but does not assume SBC disappears. Normalised EPS is an analytical after-tax earnings measure, not company guidance or consensus.</x:v>
      </x:c>
      <x:c r="I34" s="71" t="str">
        <x:v>Base case reaches approximately $2.34bn revenue in 2028, close to management's $2.3bn+ target. Standard FCFE includes net borrowing and therefore should not be read as an operating-performance measure. The primary SBC-adjusted FCF margin improves as company FCF scales and SBC intensity falls, but does not assume SBC disappears. Normalised EPS is an analytical after-tax earnings measure, not company guidance or consensus.</x:v>
      </x:c>
      <x:c r="J34" s="71" t="str">
        <x:v>Base case reaches approximately $2.34bn revenue in 2028, close to management's $2.3bn+ target. Standard FCFE includes net borrowing and therefore should not be read as an operating-performance measure. The primary SBC-adjusted FCF margin improves as company FCF scales and SBC intensity falls, but does not assume SBC disappears. Normalised EPS is an analytical after-tax earnings measure, not company guidance or consensus.</x:v>
      </x:c>
      <x:c r="K34" s="71" t="str">
        <x:v>Base case reaches approximately $2.34bn revenue in 2028, close to management's $2.3bn+ target. Standard FCFE includes net borrowing and therefore should not be read as an operating-performance measure. The primary SBC-adjusted FCF margin improves as company FCF scales and SBC intensity falls, but does not assume SBC disappears. Normalised EPS is an analytical after-tax earnings measure, not company guidance or consensus.</x:v>
      </x:c>
      <x:c r="L34" s="71" t="str">
        <x:v>Base case reaches approximately $2.34bn revenue in 2028, close to management's $2.3bn+ target. Standard FCFE includes net borrowing and therefore should not be read as an operating-performance measure. The primary SBC-adjusted FCF margin improves as company FCF scales and SBC intensity falls, but does not assume SBC disappears. Normalised EPS is an analytical after-tax earnings measure, not company guidance or consensus.</x:v>
      </x:c>
      <x:c r="M34" s="57"/>
      <x:c r="N34" s="57"/>
      <x:c r="O34" s="57"/>
      <x:c r="P34" s="58"/>
    </x:row>
    <x:row r="35">
      <x:c r="A35" s="70" t="str">
        <x:v>Base case reaches approximately $2.34bn revenue in 2028, close to management's $2.3bn+ target. Standard FCFE includes net borrowing and therefore should not be read as an operating-performance measure. The primary SBC-adjusted FCF margin improves as company FCF scales and SBC intensity falls, but does not assume SBC disappears. Normalised EPS is an analytical after-tax earnings measure, not company guidance or consensus.</x:v>
      </x:c>
      <x:c r="B35" s="71" t="str">
        <x:v>Base case reaches approximately $2.34bn revenue in 2028, close to management's $2.3bn+ target. Standard FCFE includes net borrowing and therefore should not be read as an operating-performance measure. The primary SBC-adjusted FCF margin improves as company FCF scales and SBC intensity falls, but does not assume SBC disappears. Normalised EPS is an analytical after-tax earnings measure, not company guidance or consensus.</x:v>
      </x:c>
      <x:c r="C35" s="71" t="str">
        <x:v>Base case reaches approximately $2.34bn revenue in 2028, close to management's $2.3bn+ target. Standard FCFE includes net borrowing and therefore should not be read as an operating-performance measure. The primary SBC-adjusted FCF margin improves as company FCF scales and SBC intensity falls, but does not assume SBC disappears. Normalised EPS is an analytical after-tax earnings measure, not company guidance or consensus.</x:v>
      </x:c>
      <x:c r="D35" s="71" t="str">
        <x:v>Base case reaches approximately $2.34bn revenue in 2028, close to management's $2.3bn+ target. Standard FCFE includes net borrowing and therefore should not be read as an operating-performance measure. The primary SBC-adjusted FCF margin improves as company FCF scales and SBC intensity falls, but does not assume SBC disappears. Normalised EPS is an analytical after-tax earnings measure, not company guidance or consensus.</x:v>
      </x:c>
      <x:c r="E35" s="71" t="str">
        <x:v>Base case reaches approximately $2.34bn revenue in 2028, close to management's $2.3bn+ target. Standard FCFE includes net borrowing and therefore should not be read as an operating-performance measure. The primary SBC-adjusted FCF margin improves as company FCF scales and SBC intensity falls, but does not assume SBC disappears. Normalised EPS is an analytical after-tax earnings measure, not company guidance or consensus.</x:v>
      </x:c>
      <x:c r="F35" s="71" t="str">
        <x:v>Base case reaches approximately $2.34bn revenue in 2028, close to management's $2.3bn+ target. Standard FCFE includes net borrowing and therefore should not be read as an operating-performance measure. The primary SBC-adjusted FCF margin improves as company FCF scales and SBC intensity falls, but does not assume SBC disappears. Normalised EPS is an analytical after-tax earnings measure, not company guidance or consensus.</x:v>
      </x:c>
      <x:c r="G35" s="71" t="str">
        <x:v>Base case reaches approximately $2.34bn revenue in 2028, close to management's $2.3bn+ target. Standard FCFE includes net borrowing and therefore should not be read as an operating-performance measure. The primary SBC-adjusted FCF margin improves as company FCF scales and SBC intensity falls, but does not assume SBC disappears. Normalised EPS is an analytical after-tax earnings measure, not company guidance or consensus.</x:v>
      </x:c>
      <x:c r="H35" s="71" t="str">
        <x:v>Base case reaches approximately $2.34bn revenue in 2028, close to management's $2.3bn+ target. Standard FCFE includes net borrowing and therefore should not be read as an operating-performance measure. The primary SBC-adjusted FCF margin improves as company FCF scales and SBC intensity falls, but does not assume SBC disappears. Normalised EPS is an analytical after-tax earnings measure, not company guidance or consensus.</x:v>
      </x:c>
      <x:c r="I35" s="71" t="str">
        <x:v>Base case reaches approximately $2.34bn revenue in 2028, close to management's $2.3bn+ target. Standard FCFE includes net borrowing and therefore should not be read as an operating-performance measure. The primary SBC-adjusted FCF margin improves as company FCF scales and SBC intensity falls, but does not assume SBC disappears. Normalised EPS is an analytical after-tax earnings measure, not company guidance or consensus.</x:v>
      </x:c>
      <x:c r="J35" s="71" t="str">
        <x:v>Base case reaches approximately $2.34bn revenue in 2028, close to management's $2.3bn+ target. Standard FCFE includes net borrowing and therefore should not be read as an operating-performance measure. The primary SBC-adjusted FCF margin improves as company FCF scales and SBC intensity falls, but does not assume SBC disappears. Normalised EPS is an analytical after-tax earnings measure, not company guidance or consensus.</x:v>
      </x:c>
      <x:c r="K35" s="71" t="str">
        <x:v>Base case reaches approximately $2.34bn revenue in 2028, close to management's $2.3bn+ target. Standard FCFE includes net borrowing and therefore should not be read as an operating-performance measure. The primary SBC-adjusted FCF margin improves as company FCF scales and SBC intensity falls, but does not assume SBC disappears. Normalised EPS is an analytical after-tax earnings measure, not company guidance or consensus.</x:v>
      </x:c>
      <x:c r="L35" s="71" t="str">
        <x:v>Base case reaches approximately $2.34bn revenue in 2028, close to management's $2.3bn+ target. Standard FCFE includes net borrowing and therefore should not be read as an operating-performance measure. The primary SBC-adjusted FCF margin improves as company FCF scales and SBC intensity falls, but does not assume SBC disappears. Normalised EPS is an analytical after-tax earnings measure, not company guidance or consensus.</x:v>
      </x:c>
      <x:c r="M35" s="57"/>
      <x:c r="N35" s="57"/>
      <x:c r="O35" s="57"/>
      <x:c r="P35" s="58"/>
    </x:row>
    <x:row r="36">
      <x:c r="A36" s="73" t="str">
        <x:v>Base case reaches approximately $2.34bn revenue in 2028, close to management's $2.3bn+ target. Standard FCFE includes net borrowing and therefore should not be read as an operating-performance measure. The primary SBC-adjusted FCF margin improves as company FCF scales and SBC intensity falls, but does not assume SBC disappears. Normalised EPS is an analytical after-tax earnings measure, not company guidance or consensus.</x:v>
      </x:c>
      <x:c r="B36" s="74" t="str">
        <x:v>Base case reaches approximately $2.34bn revenue in 2028, close to management's $2.3bn+ target. Standard FCFE includes net borrowing and therefore should not be read as an operating-performance measure. The primary SBC-adjusted FCF margin improves as company FCF scales and SBC intensity falls, but does not assume SBC disappears. Normalised EPS is an analytical after-tax earnings measure, not company guidance or consensus.</x:v>
      </x:c>
      <x:c r="C36" s="74" t="str">
        <x:v>Base case reaches approximately $2.34bn revenue in 2028, close to management's $2.3bn+ target. Standard FCFE includes net borrowing and therefore should not be read as an operating-performance measure. The primary SBC-adjusted FCF margin improves as company FCF scales and SBC intensity falls, but does not assume SBC disappears. Normalised EPS is an analytical after-tax earnings measure, not company guidance or consensus.</x:v>
      </x:c>
      <x:c r="D36" s="74" t="str">
        <x:v>Base case reaches approximately $2.34bn revenue in 2028, close to management's $2.3bn+ target. Standard FCFE includes net borrowing and therefore should not be read as an operating-performance measure. The primary SBC-adjusted FCF margin improves as company FCF scales and SBC intensity falls, but does not assume SBC disappears. Normalised EPS is an analytical after-tax earnings measure, not company guidance or consensus.</x:v>
      </x:c>
      <x:c r="E36" s="74" t="str">
        <x:v>Base case reaches approximately $2.34bn revenue in 2028, close to management's $2.3bn+ target. Standard FCFE includes net borrowing and therefore should not be read as an operating-performance measure. The primary SBC-adjusted FCF margin improves as company FCF scales and SBC intensity falls, but does not assume SBC disappears. Normalised EPS is an analytical after-tax earnings measure, not company guidance or consensus.</x:v>
      </x:c>
      <x:c r="F36" s="74" t="str">
        <x:v>Base case reaches approximately $2.34bn revenue in 2028, close to management's $2.3bn+ target. Standard FCFE includes net borrowing and therefore should not be read as an operating-performance measure. The primary SBC-adjusted FCF margin improves as company FCF scales and SBC intensity falls, but does not assume SBC disappears. Normalised EPS is an analytical after-tax earnings measure, not company guidance or consensus.</x:v>
      </x:c>
      <x:c r="G36" s="74" t="str">
        <x:v>Base case reaches approximately $2.34bn revenue in 2028, close to management's $2.3bn+ target. Standard FCFE includes net borrowing and therefore should not be read as an operating-performance measure. The primary SBC-adjusted FCF margin improves as company FCF scales and SBC intensity falls, but does not assume SBC disappears. Normalised EPS is an analytical after-tax earnings measure, not company guidance or consensus.</x:v>
      </x:c>
      <x:c r="H36" s="74" t="str">
        <x:v>Base case reaches approximately $2.34bn revenue in 2028, close to management's $2.3bn+ target. Standard FCFE includes net borrowing and therefore should not be read as an operating-performance measure. The primary SBC-adjusted FCF margin improves as company FCF scales and SBC intensity falls, but does not assume SBC disappears. Normalised EPS is an analytical after-tax earnings measure, not company guidance or consensus.</x:v>
      </x:c>
      <x:c r="I36" s="74" t="str">
        <x:v>Base case reaches approximately $2.34bn revenue in 2028, close to management's $2.3bn+ target. Standard FCFE includes net borrowing and therefore should not be read as an operating-performance measure. The primary SBC-adjusted FCF margin improves as company FCF scales and SBC intensity falls, but does not assume SBC disappears. Normalised EPS is an analytical after-tax earnings measure, not company guidance or consensus.</x:v>
      </x:c>
      <x:c r="J36" s="74" t="str">
        <x:v>Base case reaches approximately $2.34bn revenue in 2028, close to management's $2.3bn+ target. Standard FCFE includes net borrowing and therefore should not be read as an operating-performance measure. The primary SBC-adjusted FCF margin improves as company FCF scales and SBC intensity falls, but does not assume SBC disappears. Normalised EPS is an analytical after-tax earnings measure, not company guidance or consensus.</x:v>
      </x:c>
      <x:c r="K36" s="74" t="str">
        <x:v>Base case reaches approximately $2.34bn revenue in 2028, close to management's $2.3bn+ target. Standard FCFE includes net borrowing and therefore should not be read as an operating-performance measure. The primary SBC-adjusted FCF margin improves as company FCF scales and SBC intensity falls, but does not assume SBC disappears. Normalised EPS is an analytical after-tax earnings measure, not company guidance or consensus.</x:v>
      </x:c>
      <x:c r="L36" s="74" t="str">
        <x:v>Base case reaches approximately $2.34bn revenue in 2028, close to management's $2.3bn+ target. Standard FCFE includes net borrowing and therefore should not be read as an operating-performance measure. The primary SBC-adjusted FCF margin improves as company FCF scales and SBC intensity falls, but does not assume SBC disappears. Normalised EPS is an analytical after-tax earnings measure, not company guidance or consensus.</x:v>
      </x:c>
      <x:c r="M36" s="86"/>
      <x:c r="N36" s="86"/>
      <x:c r="O36" s="86"/>
      <x:c r="P36" s="87"/>
    </x:row>
  </x:sheetData>
  <x:mergeCells>
    <x:mergeCell ref="A1:L2"/>
    <x:mergeCell ref="A33:L36"/>
  </x:mergeCells>
  <x:pageMargins left="0.7" right="0.7" top="0.75" bottom="0.75" header="0.3" footer="0.3"/>
  <x:drawing xmlns:r="http://schemas.openxmlformats.org/officeDocument/2006/relationships" r:id="Ra3afc5612d094c44"/>
</x:worksheet>
</file>

<file path=xl/worksheets/sheet7.xml><?xml version="1.0" encoding="utf-8"?>
<x:worksheet xmlns:x="http://schemas.openxmlformats.org/spreadsheetml/2006/main">
  <x:sheetViews>
    <x:sheetView showGridLines="0" workbookViewId="0"/>
  </x:sheetViews>
  <x:sheetFormatPr defaultRowHeight="15"/>
  <x:cols>
    <x:col min="1" max="1" width="35" hidden="0" customWidth="1"/>
    <x:col min="2" max="2" width="16" hidden="0" customWidth="1"/>
    <x:col min="3" max="3" width="40" hidden="0" customWidth="1"/>
    <x:col min="4" max="4" width="14" hidden="0" customWidth="1"/>
    <x:col min="5" max="5" width="38" hidden="0" customWidth="1"/>
    <x:col min="6" max="6" width="25" hidden="0" customWidth="1"/>
    <x:col min="7" max="7" width="13" hidden="0" customWidth="1"/>
    <x:col min="8" max="8" width="13" hidden="0" customWidth="1"/>
    <x:col min="9" max="9" width="13" hidden="0" customWidth="1"/>
    <x:col min="10" max="10" width="13" hidden="0" customWidth="1"/>
    <x:col min="11" max="11" width="13" hidden="0" customWidth="1"/>
    <x:col min="12" max="12" width="13" hidden="0" customWidth="1"/>
    <x:col min="13" max="13" width="13" hidden="0" customWidth="1"/>
    <x:col min="14" max="14" width="13" hidden="0" customWidth="1"/>
    <x:col min="15" max="15" width="13" hidden="0" customWidth="1"/>
    <x:col min="16" max="16" width="13" hidden="0" customWidth="1"/>
    <x:col min="17" max="17" width="13" hidden="0" customWidth="1"/>
  </x:cols>
  <x:sheetData>
    <x:row r="1" ht="28" customHeight="1">
      <x:c r="A1" s="50" t="str">
        <x:v>Valuation — Market Expectations, DCF and Multiples</x:v>
      </x:c>
      <x:c r="B1" s="51" t="str">
        <x:v>Valuation — Market Expectations, DCF and Multiples</x:v>
      </x:c>
      <x:c r="C1" s="51" t="str">
        <x:v>Valuation — Market Expectations, DCF and Multiples</x:v>
      </x:c>
      <x:c r="D1" s="51" t="str">
        <x:v>Valuation — Market Expectations, DCF and Multiples</x:v>
      </x:c>
      <x:c r="E1" s="51" t="str">
        <x:v>Valuation — Market Expectations, DCF and Multiples</x:v>
      </x:c>
      <x:c r="F1" s="51" t="str">
        <x:v>Valuation — Market Expectations, DCF and Multiples</x:v>
      </x:c>
      <x:c r="G1" s="51" t="str">
        <x:v>Valuation — Market Expectations, DCF and Multiples</x:v>
      </x:c>
      <x:c r="H1" s="51" t="str">
        <x:v>Valuation — Market Expectations, DCF and Multiples</x:v>
      </x:c>
      <x:c r="I1" s="51" t="str">
        <x:v>Valuation — Market Expectations, DCF and Multiples</x:v>
      </x:c>
      <x:c r="J1" s="51" t="str">
        <x:v>Valuation — Market Expectations, DCF and Multiples</x:v>
      </x:c>
      <x:c r="K1" s="82"/>
      <x:c r="L1" s="82"/>
      <x:c r="M1" s="82"/>
      <x:c r="N1" s="82"/>
      <x:c r="O1" s="82"/>
      <x:c r="P1" s="82"/>
      <x:c r="Q1" s="83"/>
    </x:row>
    <x:row r="2" ht="28" customHeight="1">
      <x:c r="A2" s="53" t="str">
        <x:v>Valuation — Market Expectations, DCF and Multiples</x:v>
      </x:c>
      <x:c r="B2" s="54" t="str">
        <x:v>Valuation — Market Expectations, DCF and Multiples</x:v>
      </x:c>
      <x:c r="C2" s="54" t="str">
        <x:v>Valuation — Market Expectations, DCF and Multiples</x:v>
      </x:c>
      <x:c r="D2" s="54" t="str">
        <x:v>Valuation — Market Expectations, DCF and Multiples</x:v>
      </x:c>
      <x:c r="E2" s="54" t="str">
        <x:v>Valuation — Market Expectations, DCF and Multiples</x:v>
      </x:c>
      <x:c r="F2" s="54" t="str">
        <x:v>Valuation — Market Expectations, DCF and Multiples</x:v>
      </x:c>
      <x:c r="G2" s="54" t="str">
        <x:v>Valuation — Market Expectations, DCF and Multiples</x:v>
      </x:c>
      <x:c r="H2" s="54" t="str">
        <x:v>Valuation — Market Expectations, DCF and Multiples</x:v>
      </x:c>
      <x:c r="I2" s="54" t="str">
        <x:v>Valuation — Market Expectations, DCF and Multiples</x:v>
      </x:c>
      <x:c r="J2" s="54" t="str">
        <x:v>Valuation — Market Expectations, DCF and Multiples</x:v>
      </x:c>
      <x:c r="K2" s="57"/>
      <x:c r="L2" s="57"/>
      <x:c r="M2" s="57"/>
      <x:c r="N2" s="57"/>
      <x:c r="O2" s="57"/>
      <x:c r="P2" s="57"/>
      <x:c r="Q2" s="58"/>
    </x:row>
    <x:row r="3">
      <x:c r="A3" s="56"/>
      <x:c r="B3" s="57"/>
      <x:c r="C3" s="57"/>
      <x:c r="D3" s="57"/>
      <x:c r="E3" s="57"/>
      <x:c r="F3" s="57"/>
      <x:c r="G3" s="57"/>
      <x:c r="H3" s="57"/>
      <x:c r="I3" s="57"/>
      <x:c r="J3" s="57"/>
      <x:c r="K3" s="57"/>
      <x:c r="L3" s="57"/>
      <x:c r="M3" s="57"/>
      <x:c r="N3" s="57"/>
      <x:c r="O3" s="57"/>
      <x:c r="P3" s="57"/>
      <x:c r="Q3" s="58"/>
    </x:row>
    <x:row r="4">
      <x:c r="A4" s="88" t="str">
        <x:v>Current enterprise value bridge</x:v>
      </x:c>
      <x:c r="B4" s="89" t="str">
        <x:v>Current enterprise value bridge</x:v>
      </x:c>
      <x:c r="C4" s="89" t="str">
        <x:v>Current enterprise value bridge</x:v>
      </x:c>
      <x:c r="D4" s="89" t="str">
        <x:v>Current enterprise value bridge</x:v>
      </x:c>
      <x:c r="E4" s="57"/>
      <x:c r="F4" s="57"/>
      <x:c r="G4" s="57"/>
      <x:c r="H4" s="57"/>
      <x:c r="I4" s="57"/>
      <x:c r="J4" s="57"/>
      <x:c r="K4" s="57"/>
      <x:c r="L4" s="57"/>
      <x:c r="M4" s="57"/>
      <x:c r="N4" s="57"/>
      <x:c r="O4" s="57"/>
      <x:c r="P4" s="57"/>
      <x:c r="Q4" s="58"/>
    </x:row>
    <x:row r="5">
      <x:c r="A5" s="56" t="str">
        <x:v>Share price</x:v>
      </x:c>
      <x:c r="B5" s="90" t="n">
        <x:f>'Assumptions'!B16</x:f>
        <x:v>29.07</x:v>
      </x:c>
      <x:c r="C5" s="57"/>
      <x:c r="D5" s="57"/>
      <x:c r="E5" s="57"/>
      <x:c r="F5" s="57"/>
      <x:c r="G5" s="57"/>
      <x:c r="H5" s="57"/>
      <x:c r="I5" s="57"/>
      <x:c r="J5" s="57"/>
      <x:c r="K5" s="57"/>
      <x:c r="L5" s="57"/>
      <x:c r="M5" s="57"/>
      <x:c r="N5" s="57"/>
      <x:c r="O5" s="57"/>
      <x:c r="P5" s="57"/>
      <x:c r="Q5" s="58"/>
    </x:row>
    <x:row r="6">
      <x:c r="A6" s="56" t="str">
        <x:v>Current shares (m)</x:v>
      </x:c>
      <x:c r="B6" s="81" t="n">
        <x:f>'Assumptions'!B17</x:f>
        <x:v>251.013605</x:v>
      </x:c>
      <x:c r="C6" s="57"/>
      <x:c r="D6" s="57"/>
      <x:c r="E6" s="57"/>
      <x:c r="F6" s="57"/>
      <x:c r="G6" s="57"/>
      <x:c r="H6" s="57"/>
      <x:c r="I6" s="57"/>
      <x:c r="J6" s="57"/>
      <x:c r="K6" s="57"/>
      <x:c r="L6" s="57"/>
      <x:c r="M6" s="57"/>
      <x:c r="N6" s="57"/>
      <x:c r="O6" s="57"/>
      <x:c r="P6" s="57"/>
      <x:c r="Q6" s="58"/>
    </x:row>
    <x:row r="7">
      <x:c r="A7" s="56" t="str">
        <x:v>Equity value</x:v>
      </x:c>
      <x:c r="B7" s="90" t="n">
        <x:f>B5*B6</x:f>
        <x:v>7296.96549735</x:v>
      </x:c>
      <x:c r="C7" s="57"/>
      <x:c r="D7" s="57"/>
      <x:c r="E7" s="57"/>
      <x:c r="F7" s="57"/>
      <x:c r="G7" s="57"/>
      <x:c r="H7" s="57"/>
      <x:c r="I7" s="57"/>
      <x:c r="J7" s="57"/>
      <x:c r="K7" s="57"/>
      <x:c r="L7" s="57"/>
      <x:c r="M7" s="57"/>
      <x:c r="N7" s="57"/>
      <x:c r="O7" s="57"/>
      <x:c r="P7" s="57"/>
      <x:c r="Q7" s="58"/>
    </x:row>
    <x:row r="8">
      <x:c r="A8" s="56" t="str">
        <x:v>Borrowings</x:v>
      </x:c>
      <x:c r="B8" s="90" t="n">
        <x:f>'Assumptions'!B19</x:f>
        <x:v>197.481</x:v>
      </x:c>
      <x:c r="C8" s="57"/>
      <x:c r="D8" s="57"/>
      <x:c r="E8" s="57"/>
      <x:c r="F8" s="57"/>
      <x:c r="G8" s="57"/>
      <x:c r="H8" s="57"/>
      <x:c r="I8" s="57"/>
      <x:c r="J8" s="57"/>
      <x:c r="K8" s="57"/>
      <x:c r="L8" s="57"/>
      <x:c r="M8" s="57"/>
      <x:c r="N8" s="57"/>
      <x:c r="O8" s="57"/>
      <x:c r="P8" s="57"/>
      <x:c r="Q8" s="58"/>
    </x:row>
    <x:row r="9">
      <x:c r="A9" s="56" t="str">
        <x:v>Acquisition liabilities</x:v>
      </x:c>
      <x:c r="B9" s="90" t="n">
        <x:f>'Assumptions'!B20</x:f>
        <x:v>50.905</x:v>
      </x:c>
      <x:c r="C9" s="57"/>
      <x:c r="D9" s="57"/>
      <x:c r="E9" s="57"/>
      <x:c r="F9" s="57"/>
      <x:c r="G9" s="57"/>
      <x:c r="H9" s="57"/>
      <x:c r="I9" s="57"/>
      <x:c r="J9" s="57"/>
      <x:c r="K9" s="57"/>
      <x:c r="L9" s="57"/>
      <x:c r="M9" s="57"/>
      <x:c r="N9" s="57"/>
      <x:c r="O9" s="57"/>
      <x:c r="P9" s="57"/>
      <x:c r="Q9" s="58"/>
    </x:row>
    <x:row r="10">
      <x:c r="A10" s="56" t="str">
        <x:v>Less: cash</x:v>
      </x:c>
      <x:c r="B10" s="90" t="n">
        <x:f>-'Assumptions'!B18</x:f>
        <x:v>-309.952</x:v>
      </x:c>
      <x:c r="C10" s="57"/>
      <x:c r="D10" s="57"/>
      <x:c r="E10" s="57"/>
      <x:c r="F10" s="57"/>
      <x:c r="G10" s="57"/>
      <x:c r="H10" s="57"/>
      <x:c r="I10" s="57"/>
      <x:c r="J10" s="57"/>
      <x:c r="K10" s="57"/>
      <x:c r="L10" s="57"/>
      <x:c r="M10" s="57"/>
      <x:c r="N10" s="57"/>
      <x:c r="O10" s="57"/>
      <x:c r="P10" s="57"/>
      <x:c r="Q10" s="58"/>
    </x:row>
    <x:row r="11">
      <x:c r="A11" s="56" t="str">
        <x:v>Enterprise value</x:v>
      </x:c>
      <x:c r="B11" s="90" t="n">
        <x:f>SUM(B7:B10)</x:f>
        <x:v>7235.399497349999</x:v>
      </x:c>
      <x:c r="C11" s="57"/>
      <x:c r="D11" s="57"/>
      <x:c r="E11" s="57"/>
      <x:c r="F11" s="57"/>
      <x:c r="G11" s="57"/>
      <x:c r="H11" s="57"/>
      <x:c r="I11" s="57"/>
      <x:c r="J11" s="57"/>
      <x:c r="K11" s="57"/>
      <x:c r="L11" s="57"/>
      <x:c r="M11" s="57"/>
      <x:c r="N11" s="57"/>
      <x:c r="O11" s="57"/>
      <x:c r="P11" s="57"/>
      <x:c r="Q11" s="58"/>
    </x:row>
    <x:row r="12">
      <x:c r="A12" s="56" t="str">
        <x:v>FY2026 EV / revenue</x:v>
      </x:c>
      <x:c r="B12" s="91" t="n">
        <x:f>B11/'Historical'!I5</x:f>
        <x:v>3.979867710313531</x:v>
      </x:c>
      <x:c r="C12" s="57"/>
      <x:c r="D12" s="57"/>
      <x:c r="E12" s="57"/>
      <x:c r="F12" s="57"/>
      <x:c r="G12" s="57"/>
      <x:c r="H12" s="57"/>
      <x:c r="I12" s="57"/>
      <x:c r="J12" s="57"/>
      <x:c r="K12" s="57"/>
      <x:c r="L12" s="57"/>
      <x:c r="M12" s="57"/>
      <x:c r="N12" s="57"/>
      <x:c r="O12" s="57"/>
      <x:c r="P12" s="57"/>
      <x:c r="Q12" s="58"/>
    </x:row>
    <x:row r="13">
      <x:c r="A13" s="56" t="str">
        <x:v>FY2026 EV / adjusted EBITDA</x:v>
      </x:c>
      <x:c r="B13" s="91" t="n">
        <x:f>B11/'Historical'!I20</x:f>
        <x:v>17.856365985562682</x:v>
      </x:c>
      <x:c r="C13" s="57"/>
      <x:c r="D13" s="57"/>
      <x:c r="E13" s="57"/>
      <x:c r="F13" s="57"/>
      <x:c r="G13" s="57"/>
      <x:c r="H13" s="57"/>
      <x:c r="I13" s="57"/>
      <x:c r="J13" s="57"/>
      <x:c r="K13" s="57"/>
      <x:c r="L13" s="57"/>
      <x:c r="M13" s="57"/>
      <x:c r="N13" s="57"/>
      <x:c r="O13" s="57"/>
      <x:c r="P13" s="57"/>
      <x:c r="Q13" s="58"/>
    </x:row>
    <x:row r="14">
      <x:c r="A14" s="56"/>
      <x:c r="B14" s="57"/>
      <x:c r="C14" s="57"/>
      <x:c r="D14" s="57"/>
      <x:c r="E14" s="57"/>
      <x:c r="F14" s="57"/>
      <x:c r="G14" s="57"/>
      <x:c r="H14" s="57"/>
      <x:c r="I14" s="57"/>
      <x:c r="J14" s="57"/>
      <x:c r="K14" s="57"/>
      <x:c r="L14" s="57"/>
      <x:c r="M14" s="57"/>
      <x:c r="N14" s="57"/>
      <x:c r="O14" s="57"/>
      <x:c r="P14" s="57"/>
      <x:c r="Q14" s="58"/>
    </x:row>
    <x:row r="15">
      <x:c r="A15" s="56"/>
      <x:c r="B15" s="57"/>
      <x:c r="C15" s="57"/>
      <x:c r="D15" s="57"/>
      <x:c r="E15" s="57"/>
      <x:c r="F15" s="57"/>
      <x:c r="G15" s="57"/>
      <x:c r="H15" s="57"/>
      <x:c r="I15" s="57"/>
      <x:c r="J15" s="57"/>
      <x:c r="K15" s="57"/>
      <x:c r="L15" s="57"/>
      <x:c r="M15" s="57"/>
      <x:c r="N15" s="57"/>
      <x:c r="O15" s="57"/>
      <x:c r="P15" s="57"/>
      <x:c r="Q15" s="58"/>
    </x:row>
    <x:row r="16">
      <x:c r="A16" s="88" t="str">
        <x:v>Primary equity DCF — SBC-adjusted FCF</x:v>
      </x:c>
      <x:c r="B16" s="89" t="str">
        <x:v>Primary equity DCF — SBC-adjusted FCF</x:v>
      </x:c>
      <x:c r="C16" s="89" t="str">
        <x:v>Primary equity DCF — SBC-adjusted FCF</x:v>
      </x:c>
      <x:c r="D16" s="89" t="str">
        <x:v>Primary equity DCF — SBC-adjusted FCF</x:v>
      </x:c>
      <x:c r="E16" s="89" t="str">
        <x:v>Primary equity DCF — SBC-adjusted FCF</x:v>
      </x:c>
      <x:c r="F16" s="89" t="str">
        <x:v>Primary equity DCF — SBC-adjusted FCF</x:v>
      </x:c>
      <x:c r="G16" s="89" t="str">
        <x:v>Primary equity DCF — SBC-adjusted FCF</x:v>
      </x:c>
      <x:c r="H16" s="89" t="str">
        <x:v>Primary equity DCF — SBC-adjusted FCF</x:v>
      </x:c>
      <x:c r="I16" s="89" t="str">
        <x:v>Primary equity DCF — SBC-adjusted FCF</x:v>
      </x:c>
      <x:c r="J16" s="89" t="str">
        <x:v>Primary equity DCF — SBC-adjusted FCF</x:v>
      </x:c>
      <x:c r="K16" s="89" t="str">
        <x:v>Primary equity DCF — SBC-adjusted FCF</x:v>
      </x:c>
      <x:c r="L16" s="89" t="str">
        <x:v>Primary equity DCF — SBC-adjusted FCF</x:v>
      </x:c>
      <x:c r="M16" s="57"/>
      <x:c r="N16" s="57"/>
      <x:c r="O16" s="57"/>
      <x:c r="P16" s="57"/>
      <x:c r="Q16" s="58"/>
    </x:row>
    <x:row r="17">
      <x:c r="A17" s="59" t="str"/>
      <x:c r="B17" s="60" t="str">
        <x:v>2026E</x:v>
      </x:c>
      <x:c r="C17" s="60" t="str">
        <x:v>2027E</x:v>
      </x:c>
      <x:c r="D17" s="60" t="str">
        <x:v>2028E</x:v>
      </x:c>
      <x:c r="E17" s="60" t="str">
        <x:v>2029E</x:v>
      </x:c>
      <x:c r="F17" s="60" t="str">
        <x:v>2030E</x:v>
      </x:c>
      <x:c r="G17" s="60" t="str">
        <x:v>2031E</x:v>
      </x:c>
      <x:c r="H17" s="60" t="str">
        <x:v>2032E</x:v>
      </x:c>
      <x:c r="I17" s="60" t="str">
        <x:v>2033E</x:v>
      </x:c>
      <x:c r="J17" s="60" t="str">
        <x:v>2034E</x:v>
      </x:c>
      <x:c r="K17" s="60" t="str">
        <x:v>2035E</x:v>
      </x:c>
      <x:c r="L17" s="60" t="str">
        <x:v>Terminal</x:v>
      </x:c>
      <x:c r="M17" s="57"/>
      <x:c r="N17" s="57"/>
      <x:c r="O17" s="57"/>
      <x:c r="P17" s="57"/>
      <x:c r="Q17" s="58"/>
    </x:row>
    <x:row r="18">
      <x:c r="A18" s="56" t="str">
        <x:v>SBC-adjusted FCF</x:v>
      </x:c>
      <x:c r="B18" s="90" t="n">
        <x:f>'Forecast'!C29</x:f>
        <x:v>55.13820000000001</x:v>
      </x:c>
      <x:c r="C18" s="90" t="n">
        <x:f>'Forecast'!D29</x:f>
        <x:v>137.07719999999995</x:v>
      </x:c>
      <x:c r="D18" s="90" t="n">
        <x:f>'Forecast'!E29</x:f>
        <x:v>236.42653680000004</x:v>
      </x:c>
      <x:c r="E18" s="90" t="n">
        <x:f>'Forecast'!F29</x:f>
        <x:v>304.19434116</x:v>
      </x:c>
      <x:c r="F18" s="90" t="n">
        <x:f>'Forecast'!G29</x:f>
        <x:v>381.6977689511999</x:v>
      </x:c>
      <x:c r="G18" s="90" t="n">
        <x:f>'Forecast'!H29</x:f>
        <x:v>464.05640294413195</x:v>
      </x:c>
      <x:c r="H18" s="90" t="n">
        <x:f>'Forecast'!I29</x:f>
        <x:v>528.8322760171611</x:v>
      </x:c>
      <x:c r="I18" s="90" t="n">
        <x:f>'Forecast'!J29</x:f>
        <x:v>591.7391219224706</x:v>
      </x:c>
      <x:c r="J18" s="90" t="n">
        <x:f>'Forecast'!K29</x:f>
        <x:v>654.6853710169734</x:v>
      </x:c>
      <x:c r="K18" s="90" t="n">
        <x:f>'Forecast'!L29</x:f>
        <x:v>720.3499217028076</x:v>
      </x:c>
      <x:c r="L18" s="90"/>
      <x:c r="M18" s="57"/>
      <x:c r="N18" s="57"/>
      <x:c r="O18" s="57"/>
      <x:c r="P18" s="57"/>
      <x:c r="Q18" s="58"/>
    </x:row>
    <x:row r="19">
      <x:c r="A19" s="56" t="str">
        <x:v>Discount period</x:v>
      </x:c>
      <x:c r="B19" s="92" t="n">
        <x:v>0</x:v>
      </x:c>
      <x:c r="C19" s="92" t="n">
        <x:v>1</x:v>
      </x:c>
      <x:c r="D19" s="92" t="n">
        <x:v>2</x:v>
      </x:c>
      <x:c r="E19" s="92" t="n">
        <x:v>3</x:v>
      </x:c>
      <x:c r="F19" s="92" t="n">
        <x:v>4</x:v>
      </x:c>
      <x:c r="G19" s="92" t="n">
        <x:v>5</x:v>
      </x:c>
      <x:c r="H19" s="92" t="n">
        <x:v>6</x:v>
      </x:c>
      <x:c r="I19" s="92" t="n">
        <x:v>7</x:v>
      </x:c>
      <x:c r="J19" s="92" t="n">
        <x:v>8</x:v>
      </x:c>
      <x:c r="K19" s="92" t="n">
        <x:v>9</x:v>
      </x:c>
      <x:c r="L19" s="76"/>
      <x:c r="M19" s="57"/>
      <x:c r="N19" s="57"/>
      <x:c r="O19" s="57"/>
      <x:c r="P19" s="57"/>
      <x:c r="Q19" s="58"/>
    </x:row>
    <x:row r="20">
      <x:c r="A20" s="56" t="str">
        <x:v>Discount factor</x:v>
      </x:c>
      <x:c r="B20" s="93" t="n">
        <x:v>1</x:v>
      </x:c>
      <x:c r="C20" s="93" t="n">
        <x:f>1/(1+'Assumptions'!B21)^C19</x:f>
        <x:v>0.9041591320072332</x:v>
      </x:c>
      <x:c r="D20" s="93" t="n">
        <x:f>1/(1+'Assumptions'!B21)^D19</x:f>
        <x:v>0.8175037359920734</x:v>
      </x:c>
      <x:c r="E20" s="93" t="n">
        <x:f>1/(1+'Assumptions'!B21)^E19</x:f>
        <x:v>0.7391534683472634</x:v>
      </x:c>
      <x:c r="F20" s="93" t="n">
        <x:f>1/(1+'Assumptions'!B21)^F19</x:f>
        <x:v>0.6683123583609976</x:v>
      </x:c>
      <x:c r="G20" s="93" t="n">
        <x:f>1/(1+'Assumptions'!B21)^G19</x:f>
        <x:v>0.6042607218453865</x:v>
      </x:c>
      <x:c r="H20" s="93" t="n">
        <x:f>1/(1+'Assumptions'!B21)^H19</x:f>
        <x:v>0.5463478497697889</x:v>
      </x:c>
      <x:c r="I20" s="93" t="n">
        <x:f>1/(1+'Assumptions'!B21)^I19</x:f>
        <x:v>0.49398539762187055</x:v>
      </x:c>
      <x:c r="J20" s="93" t="n">
        <x:f>1/(1+'Assumptions'!B21)^J19</x:f>
        <x:v>0.4466414083380384</x:v>
      </x:c>
      <x:c r="K20" s="93" t="n">
        <x:f>1/(1+'Assumptions'!B21)^K19</x:f>
        <x:v>0.40383490808140904</x:v>
      </x:c>
      <x:c r="L20" s="76"/>
      <x:c r="M20" s="57"/>
      <x:c r="N20" s="57"/>
      <x:c r="O20" s="57"/>
      <x:c r="P20" s="57"/>
      <x:c r="Q20" s="58"/>
    </x:row>
    <x:row r="21">
      <x:c r="A21" s="56" t="str">
        <x:v>PV of SBC-adjusted FCF</x:v>
      </x:c>
      <x:c r="B21" s="90" t="n">
        <x:f>B18*B20</x:f>
        <x:v>55.13820000000001</x:v>
      </x:c>
      <x:c r="C21" s="90" t="n">
        <x:f>C18*C20</x:f>
        <x:v>123.93960216998185</x:v>
      </x:c>
      <x:c r="D21" s="90" t="n">
        <x:f>D18*D20</x:f>
        <x:v>193.27957712166744</x:v>
      </x:c>
      <x:c r="E21" s="90" t="n">
        <x:f>E18*E20</x:f>
        <x:v>224.8463023200247</x:v>
      </x:c>
      <x:c r="F21" s="90" t="n">
        <x:f>F18*F20</x:f>
        <x:v>255.09333614890758</x:v>
      </x:c>
      <x:c r="G21" s="90" t="n">
        <x:f>G18*G20</x:f>
        <x:v>280.4110570199947</x:v>
      </x:c>
      <x:c r="H21" s="90" t="n">
        <x:f>H18*H20</x:f>
        <x:v>288.9263768908395</x:v>
      </x:c>
      <x:c r="I21" s="90" t="n">
        <x:f>I18*I20</x:f>
        <x:v>292.3104854312882</x:v>
      </x:c>
      <x:c r="J21" s="90" t="n">
        <x:f>J18*J20</x:f>
        <x:v>292.40959612933216</x:v>
      </x:c>
      <x:c r="K21" s="90" t="n">
        <x:f>K18*K20</x:f>
        <x:v>290.9024444173035</x:v>
      </x:c>
      <x:c r="L21" s="90" t="n">
        <x:f>L22*K20</x:f>
        <x:v>3942.4936546029294</x:v>
      </x:c>
      <x:c r="M21" s="57"/>
      <x:c r="N21" s="57"/>
      <x:c r="O21" s="57"/>
      <x:c r="P21" s="57"/>
      <x:c r="Q21" s="58"/>
    </x:row>
    <x:row r="22">
      <x:c r="A22" s="56" t="str">
        <x:v>Terminal value</x:v>
      </x:c>
      <x:c r="B22" s="90"/>
      <x:c r="C22" s="90"/>
      <x:c r="D22" s="90"/>
      <x:c r="E22" s="90"/>
      <x:c r="F22" s="90"/>
      <x:c r="G22" s="90"/>
      <x:c r="H22" s="90"/>
      <x:c r="I22" s="90"/>
      <x:c r="J22" s="90"/>
      <x:c r="K22" s="90"/>
      <x:c r="L22" s="90" t="n">
        <x:f>K18*(1+'Assumptions'!B22)/('Assumptions'!B21-'Assumptions'!B22)</x:f>
        <x:v>9762.637096761735</x:v>
      </x:c>
      <x:c r="M22" s="57"/>
      <x:c r="N22" s="57"/>
      <x:c r="O22" s="57"/>
      <x:c r="P22" s="57"/>
      <x:c r="Q22" s="58"/>
    </x:row>
    <x:row r="23">
      <x:c r="A23" s="56"/>
      <x:c r="B23" s="57"/>
      <x:c r="C23" s="57"/>
      <x:c r="D23" s="57"/>
      <x:c r="E23" s="57"/>
      <x:c r="F23" s="57"/>
      <x:c r="G23" s="57"/>
      <x:c r="H23" s="57"/>
      <x:c r="I23" s="57"/>
      <x:c r="J23" s="57"/>
      <x:c r="K23" s="57"/>
      <x:c r="L23" s="57"/>
      <x:c r="M23" s="57"/>
      <x:c r="N23" s="57"/>
      <x:c r="O23" s="57"/>
      <x:c r="P23" s="57"/>
      <x:c r="Q23" s="58"/>
    </x:row>
    <x:row r="24">
      <x:c r="A24" s="59" t="str">
        <x:v>DCF output</x:v>
      </x:c>
      <x:c r="B24" s="60" t="str">
        <x:v>Value</x:v>
      </x:c>
      <x:c r="C24" s="57"/>
      <x:c r="D24" s="57"/>
      <x:c r="E24" s="89" t="str">
        <x:v>Reverse DCF — what the current price requires</x:v>
      </x:c>
      <x:c r="F24" s="89" t="str">
        <x:v>Reverse DCF — what the current price requires</x:v>
      </x:c>
      <x:c r="G24" s="89" t="str">
        <x:v>Reverse DCF — what the current price requires</x:v>
      </x:c>
      <x:c r="H24" s="89" t="str">
        <x:v>Reverse DCF — what the current price requires</x:v>
      </x:c>
      <x:c r="I24" s="89" t="str">
        <x:v>Reverse DCF — what the current price requires</x:v>
      </x:c>
      <x:c r="J24" s="89" t="str">
        <x:v>Reverse DCF — what the current price requires</x:v>
      </x:c>
      <x:c r="K24" s="57"/>
      <x:c r="L24" s="57"/>
      <x:c r="M24" s="57"/>
      <x:c r="N24" s="57"/>
      <x:c r="O24" s="57"/>
      <x:c r="P24" s="57"/>
      <x:c r="Q24" s="58"/>
    </x:row>
    <x:row r="25">
      <x:c r="A25" s="56" t="str">
        <x:v>PV explicit period</x:v>
      </x:c>
      <x:c r="B25" s="94" t="n">
        <x:f>SUM(C21:K21)</x:f>
        <x:v>2242.11877764934</x:v>
      </x:c>
      <x:c r="C25" s="57"/>
      <x:c r="D25" s="57"/>
      <x:c r="E25" s="57" t="str">
        <x:v>Market equity value</x:v>
      </x:c>
      <x:c r="F25" s="94" t="n">
        <x:f>'Assumptions'!B16*'Assumptions'!B17</x:f>
        <x:v>7296.96549735</x:v>
      </x:c>
      <x:c r="G25" s="57"/>
      <x:c r="H25" s="57"/>
      <x:c r="I25" s="57"/>
      <x:c r="J25" s="57"/>
      <x:c r="K25" s="57"/>
      <x:c r="L25" s="57"/>
      <x:c r="M25" s="57"/>
      <x:c r="N25" s="57"/>
      <x:c r="O25" s="57"/>
      <x:c r="P25" s="57"/>
      <x:c r="Q25" s="58"/>
    </x:row>
    <x:row r="26">
      <x:c r="A26" s="56" t="str">
        <x:v>PV terminal value</x:v>
      </x:c>
      <x:c r="B26" s="94" t="n">
        <x:f>L21</x:f>
        <x:v>3942.4936546029294</x:v>
      </x:c>
      <x:c r="C26" s="57"/>
      <x:c r="D26" s="57"/>
      <x:c r="E26" s="57" t="str">
        <x:v>2026 SBC-adjusted FCF margin</x:v>
      </x:c>
      <x:c r="F26" s="65" t="n">
        <x:f>'Forecast'!C30</x:f>
        <x:v>0.030329042904290435</x:v>
      </x:c>
      <x:c r="G26" s="57"/>
      <x:c r="H26" s="57"/>
      <x:c r="I26" s="57"/>
      <x:c r="J26" s="57"/>
      <x:c r="K26" s="57"/>
      <x:c r="L26" s="57"/>
      <x:c r="M26" s="57"/>
      <x:c r="N26" s="57"/>
      <x:c r="O26" s="57"/>
      <x:c r="P26" s="57"/>
      <x:c r="Q26" s="58"/>
    </x:row>
    <x:row r="27">
      <x:c r="A27" s="56" t="str">
        <x:v>Equity value</x:v>
      </x:c>
      <x:c r="B27" s="94" t="n">
        <x:f>SUM(B25:B26)</x:f>
        <x:v>6184.612432252269</x:v>
      </x:c>
      <x:c r="C27" s="57"/>
      <x:c r="D27" s="57"/>
      <x:c r="E27" s="57" t="str">
        <x:v>Low terminal SBC-adjusted margin</x:v>
      </x:c>
      <x:c r="F27" s="65" t="n">
        <x:v>0</x:v>
      </x:c>
      <x:c r="G27" s="57"/>
      <x:c r="H27" s="57"/>
      <x:c r="I27" s="57"/>
      <x:c r="J27" s="57"/>
      <x:c r="K27" s="57"/>
      <x:c r="L27" s="57"/>
      <x:c r="M27" s="57"/>
      <x:c r="N27" s="57"/>
      <x:c r="O27" s="57"/>
      <x:c r="P27" s="57"/>
      <x:c r="Q27" s="58"/>
    </x:row>
    <x:row r="28">
      <x:c r="A28" s="56" t="str">
        <x:v>Value / current share</x:v>
      </x:c>
      <x:c r="B28" s="94" t="n">
        <x:f>B27/'Assumptions'!B17</x:f>
        <x:v>24.63855468014281</x:v>
      </x:c>
      <x:c r="C28" s="57"/>
      <x:c r="D28" s="57"/>
      <x:c r="E28" s="57" t="str">
        <x:v>High terminal SBC-adjusted margin</x:v>
      </x:c>
      <x:c r="F28" s="65" t="n">
        <x:v>1</x:v>
      </x:c>
      <x:c r="G28" s="57"/>
      <x:c r="H28" s="57"/>
      <x:c r="I28" s="57"/>
      <x:c r="J28" s="57"/>
      <x:c r="K28" s="57"/>
      <x:c r="L28" s="57"/>
      <x:c r="M28" s="57"/>
      <x:c r="N28" s="57"/>
      <x:c r="O28" s="57"/>
      <x:c r="P28" s="57"/>
      <x:c r="Q28" s="58"/>
    </x:row>
    <x:row r="29">
      <x:c r="A29" s="56" t="str">
        <x:v>Upside / (downside)</x:v>
      </x:c>
      <x:c r="B29" s="65" t="n">
        <x:f>B28/'Assumptions'!B16-1</x:f>
        <x:v>-0.15244049947909144</x:v>
      </x:c>
      <x:c r="C29" s="57"/>
      <x:c r="D29" s="57"/>
      <x:c r="E29" s="57" t="str">
        <x:v>DCF value at low margin</x:v>
      </x:c>
      <x:c r="F29" s="94" t="n">
        <x:f>SUM(H39:P39)+Q39</x:f>
        <x:v>232.51474290844644</x:v>
      </x:c>
      <x:c r="G29" s="57"/>
      <x:c r="H29" s="57"/>
      <x:c r="I29" s="57"/>
      <x:c r="J29" s="57"/>
      <x:c r="K29" s="57"/>
      <x:c r="L29" s="57"/>
      <x:c r="M29" s="57"/>
      <x:c r="N29" s="57"/>
      <x:c r="O29" s="57"/>
      <x:c r="P29" s="57"/>
      <x:c r="Q29" s="58"/>
    </x:row>
    <x:row r="30">
      <x:c r="A30" s="56" t="str">
        <x:v>Terminal value / total</x:v>
      </x:c>
      <x:c r="B30" s="65" t="n">
        <x:f>B26/B27</x:f>
        <x:v>0.6374681837851527</x:v>
      </x:c>
      <x:c r="C30" s="57"/>
      <x:c r="D30" s="57"/>
      <x:c r="E30" s="57" t="str">
        <x:v>DCF value at high margin</x:v>
      </x:c>
      <x:c r="F30" s="94" t="n">
        <x:f>SUM(H40:P40)+Q40</x:f>
        <x:v>31894.981251903955</x:v>
      </x:c>
      <x:c r="G30" s="57"/>
      <x:c r="H30" s="57"/>
      <x:c r="I30" s="57"/>
      <x:c r="J30" s="57"/>
      <x:c r="K30" s="57"/>
      <x:c r="L30" s="57"/>
      <x:c r="M30" s="57"/>
      <x:c r="N30" s="57"/>
      <x:c r="O30" s="57"/>
      <x:c r="P30" s="57"/>
      <x:c r="Q30" s="58"/>
    </x:row>
    <x:row r="31">
      <x:c r="A31" s="56"/>
      <x:c r="B31" s="57"/>
      <x:c r="C31" s="57"/>
      <x:c r="D31" s="57"/>
      <x:c r="E31" s="57" t="str">
        <x:v>Implied terminal SBC-adjusted margin</x:v>
      </x:c>
      <x:c r="F31" s="65" t="n">
        <x:f>(F25-F29)/(F30-F29)</x:f>
        <x:v>0.22311751210015487</x:v>
      </x:c>
      <x:c r="G31" s="57"/>
      <x:c r="H31" s="57"/>
      <x:c r="I31" s="57"/>
      <x:c r="J31" s="57"/>
      <x:c r="K31" s="57"/>
      <x:c r="L31" s="57"/>
      <x:c r="M31" s="57"/>
      <x:c r="N31" s="57"/>
      <x:c r="O31" s="57"/>
      <x:c r="P31" s="57"/>
      <x:c r="Q31" s="58"/>
    </x:row>
    <x:row r="32">
      <x:c r="A32" s="56"/>
      <x:c r="B32" s="57"/>
      <x:c r="C32" s="57"/>
      <x:c r="D32" s="57"/>
      <x:c r="E32" s="57" t="str">
        <x:v>Base terminal SBC-adjusted margin</x:v>
      </x:c>
      <x:c r="F32" s="65" t="n">
        <x:f>'Forecast'!L30</x:f>
        <x:v>0.175</x:v>
      </x:c>
      <x:c r="G32" s="57"/>
      <x:c r="H32" s="57"/>
      <x:c r="I32" s="57"/>
      <x:c r="J32" s="57"/>
      <x:c r="K32" s="57"/>
      <x:c r="L32" s="57"/>
      <x:c r="M32" s="57"/>
      <x:c r="N32" s="57"/>
      <x:c r="O32" s="57"/>
      <x:c r="P32" s="57"/>
      <x:c r="Q32" s="58"/>
    </x:row>
    <x:row r="33">
      <x:c r="A33" s="56"/>
      <x:c r="B33" s="57"/>
      <x:c r="C33" s="57"/>
      <x:c r="D33" s="57"/>
      <x:c r="E33" s="57" t="str">
        <x:v>Implied 2035 SBC-adjusted FCF</x:v>
      </x:c>
      <x:c r="F33" s="94" t="n">
        <x:f>'Forecast'!L5*F31</x:f>
        <x:v>918.4153278392674</x:v>
      </x:c>
      <x:c r="G33" s="57"/>
      <x:c r="H33" s="57"/>
      <x:c r="I33" s="57"/>
      <x:c r="J33" s="57"/>
      <x:c r="K33" s="57"/>
      <x:c r="L33" s="57"/>
      <x:c r="M33" s="57"/>
      <x:c r="N33" s="57"/>
      <x:c r="O33" s="57"/>
      <x:c r="P33" s="57"/>
      <x:c r="Q33" s="58"/>
    </x:row>
    <x:row r="34">
      <x:c r="A34" s="56"/>
      <x:c r="B34" s="57"/>
      <x:c r="C34" s="57"/>
      <x:c r="D34" s="57"/>
      <x:c r="E34" s="57" t="str">
        <x:v>Interpretation</x:v>
      </x:c>
      <x:c r="F34" s="95" t="str">
        <x:f>IF(F31&gt;F32,"Current price requires a higher terminal SBC-adjusted FCF margin than the base case","Current price is less demanding than the base case")</x:f>
        <x:v>Current price requires a higher terminal SBC-adjusted FCF margin than the base case</x:v>
      </x:c>
      <x:c r="G34" s="57"/>
      <x:c r="H34" s="57"/>
      <x:c r="I34" s="57"/>
      <x:c r="J34" s="57"/>
      <x:c r="K34" s="57"/>
      <x:c r="L34" s="57"/>
      <x:c r="M34" s="57"/>
      <x:c r="N34" s="57"/>
      <x:c r="O34" s="57"/>
      <x:c r="P34" s="57"/>
      <x:c r="Q34" s="58"/>
    </x:row>
    <x:row r="35">
      <x:c r="A35" s="56"/>
      <x:c r="B35" s="57"/>
      <x:c r="C35" s="57"/>
      <x:c r="D35" s="57"/>
      <x:c r="E35" s="57"/>
      <x:c r="F35" s="57"/>
      <x:c r="G35" s="57"/>
      <x:c r="H35" s="57"/>
      <x:c r="I35" s="57"/>
      <x:c r="J35" s="57"/>
      <x:c r="K35" s="57"/>
      <x:c r="L35" s="57"/>
      <x:c r="M35" s="57"/>
      <x:c r="N35" s="57"/>
      <x:c r="O35" s="57"/>
      <x:c r="P35" s="57"/>
      <x:c r="Q35" s="58"/>
    </x:row>
    <x:row r="36">
      <x:c r="A36" s="56"/>
      <x:c r="B36" s="57"/>
      <x:c r="C36" s="57"/>
      <x:c r="D36" s="57"/>
      <x:c r="E36" s="57"/>
      <x:c r="F36" s="57"/>
      <x:c r="G36" s="60" t="str">
        <x:v>Helper</x:v>
      </x:c>
      <x:c r="H36" s="60" t="str">
        <x:v>2027</x:v>
      </x:c>
      <x:c r="I36" s="60" t="str">
        <x:v>2028</x:v>
      </x:c>
      <x:c r="J36" s="60" t="str">
        <x:v>2029</x:v>
      </x:c>
      <x:c r="K36" s="60" t="str">
        <x:v>2030</x:v>
      </x:c>
      <x:c r="L36" s="60" t="str">
        <x:v>2031</x:v>
      </x:c>
      <x:c r="M36" s="60" t="str">
        <x:v>2032</x:v>
      </x:c>
      <x:c r="N36" s="60" t="str">
        <x:v>2033</x:v>
      </x:c>
      <x:c r="O36" s="60" t="str">
        <x:v>2034</x:v>
      </x:c>
      <x:c r="P36" s="60" t="str">
        <x:v>2035</x:v>
      </x:c>
      <x:c r="Q36" s="61" t="str">
        <x:v>Terminal PV</x:v>
      </x:c>
    </x:row>
    <x:row r="37">
      <x:c r="A37" s="56"/>
      <x:c r="B37" s="57"/>
      <x:c r="C37" s="57"/>
      <x:c r="D37" s="57"/>
      <x:c r="E37" s="57"/>
      <x:c r="F37" s="57"/>
      <x:c r="G37" s="57" t="str">
        <x:v>Revenue</x:v>
      </x:c>
      <x:c r="H37" s="96" t="n">
        <x:f>'Forecast'!D5</x:f>
        <x:v>2108.8799999999997</x:v>
      </x:c>
      <x:c r="I37" s="96" t="n">
        <x:f>'Forecast'!E5</x:f>
        <x:v>2340.8568</x:v>
      </x:c>
      <x:c r="J37" s="96" t="n">
        <x:f>'Forecast'!F5</x:f>
        <x:v>2645.1681839999997</x:v>
      </x:c>
      <x:c r="K37" s="96" t="n">
        <x:f>'Forecast'!G5</x:f>
        <x:v>2936.13668424</x:v>
      </x:c>
      <x:c r="L37" s="96" t="n">
        <x:f>'Forecast'!H5</x:f>
        <x:v>3200.3889858216</x:v>
      </x:c>
      <x:c r="M37" s="96" t="n">
        <x:f>'Forecast'!I5</x:f>
        <x:v>3456.420104687328</x:v>
      </x:c>
      <x:c r="N37" s="96" t="n">
        <x:f>'Forecast'!J5</x:f>
        <x:v>3698.369512015441</x:v>
      </x:c>
      <x:c r="O37" s="96" t="n">
        <x:f>'Forecast'!K5</x:f>
        <x:v>3920.271682736368</x:v>
      </x:c>
      <x:c r="P37" s="96" t="n">
        <x:f>'Forecast'!L5</x:f>
        <x:v>4116.285266873187</x:v>
      </x:c>
      <x:c r="Q37" s="97"/>
    </x:row>
    <x:row r="38">
      <x:c r="A38" s="56"/>
      <x:c r="B38" s="57"/>
      <x:c r="C38" s="57"/>
      <x:c r="D38" s="57"/>
      <x:c r="E38" s="57"/>
      <x:c r="F38" s="57"/>
      <x:c r="G38" s="57" t="str">
        <x:v>Low margin</x:v>
      </x:c>
      <x:c r="H38" s="65" t="n">
        <x:f>$F$26+($F$27-$F$26)*1/9</x:f>
        <x:v>0.026959149248258166</x:v>
      </x:c>
      <x:c r="I38" s="65" t="n">
        <x:f>$F$26+($F$27-$F$26)*2/9</x:f>
        <x:v>0.023589255592225893</x:v>
      </x:c>
      <x:c r="J38" s="65" t="n">
        <x:f>$F$26+($F$27-$F$26)*3/9</x:f>
        <x:v>0.02021936193619362</x:v>
      </x:c>
      <x:c r="K38" s="65" t="n">
        <x:f>$F$26+($F$27-$F$26)*4/9</x:f>
        <x:v>0.016849468280161352</x:v>
      </x:c>
      <x:c r="L38" s="65" t="n">
        <x:f>$F$26+($F$27-$F$26)*5/9</x:f>
        <x:v>0.01347957462412908</x:v>
      </x:c>
      <x:c r="M38" s="65" t="n">
        <x:f>$F$26+($F$27-$F$26)*6/9</x:f>
        <x:v>0.01010968096809681</x:v>
      </x:c>
      <x:c r="N38" s="65" t="n">
        <x:f>$F$26+($F$27-$F$26)*7/9</x:f>
        <x:v>0.006739787312064541</x:v>
      </x:c>
      <x:c r="O38" s="65" t="n">
        <x:f>$F$26+($F$27-$F$26)*8/9</x:f>
        <x:v>0.003369893656032269</x:v>
      </x:c>
      <x:c r="P38" s="65" t="n">
        <x:f>$F$26+($F$27-$F$26)*9/9</x:f>
        <x:v>0</x:v>
      </x:c>
      <x:c r="Q38" s="97"/>
    </x:row>
    <x:row r="39">
      <x:c r="A39" s="56"/>
      <x:c r="B39" s="57"/>
      <x:c r="C39" s="57"/>
      <x:c r="D39" s="57"/>
      <x:c r="E39" s="57"/>
      <x:c r="F39" s="57"/>
      <x:c r="G39" s="57" t="str">
        <x:v>Low PV</x:v>
      </x:c>
      <x:c r="H39" s="96" t="n">
        <x:f>H37*H38/(1+'Assumptions'!$B$21)^1</x:f>
        <x:v>51.40471127185051</x:v>
      </x:c>
      <x:c r="I39" s="96" t="n">
        <x:f>I37*I38/(1+'Assumptions'!$B$21)^2</x:f>
        <x:v>45.14179549980544</x:v>
      </x:c>
      <x:c r="J39" s="96" t="n">
        <x:f>J37*J38/(1+'Assumptions'!$B$21)^3</x:f>
        <x:v>39.53259797063818</x:v>
      </x:c>
      <x:c r="K39" s="96" t="n">
        <x:f>K37*K38/(1+'Assumptions'!$B$21)^4</x:f>
        <x:v>33.06297750708889</x:v>
      </x:c>
      <x:c r="L39" s="96" t="n">
        <x:f>L37*L38/(1+'Assumptions'!$B$21)^5</x:f>
        <x:v>26.06773633470299</x:v>
      </x:c>
      <x:c r="M39" s="96" t="n">
        <x:f>M37*M38/(1+'Assumptions'!$B$21)^6</x:f>
        <x:v>19.09119930480056</x:v>
      </x:c>
      <x:c r="N39" s="96" t="n">
        <x:f>N37*N38/(1+'Assumptions'!$B$21)^7</x:f>
        <x:v>12.313190630582643</x:v>
      </x:c>
      <x:c r="O39" s="96" t="n">
        <x:f>O37*O38/(1+'Assumptions'!$B$21)^8</x:f>
        <x:v>5.900534388977212</x:v>
      </x:c>
      <x:c r="P39" s="96" t="n">
        <x:f>P37*P38/(1+'Assumptions'!$B$21)^9</x:f>
        <x:v>0</x:v>
      </x:c>
      <x:c r="Q39" s="97" t="n">
        <x:f>P37*P38*(1+'Assumptions'!B22)/('Assumptions'!B21-'Assumptions'!B22)/(1+'Assumptions'!B21)^9</x:f>
        <x:v>0</x:v>
      </x:c>
    </x:row>
    <x:row r="40">
      <x:c r="A40" s="56"/>
      <x:c r="B40" s="57"/>
      <x:c r="C40" s="57"/>
      <x:c r="D40" s="57"/>
      <x:c r="E40" s="57"/>
      <x:c r="F40" s="57"/>
      <x:c r="G40" s="57" t="str">
        <x:v>High PV</x:v>
      </x:c>
      <x:c r="H40" s="96" t="n">
        <x:f>H37*($F$26+($F$28-$F$26)*1/9)/(1+'Assumptions'!$B$21)^1</x:f>
        <x:v>263.2672790837854</x:v>
      </x:c>
      <x:c r="I40" s="96" t="n">
        <x:f>I37*($F$26+($F$28-$F$26)*2/9)/(1+'Assumptions'!$B$21)^2</x:f>
        <x:v>470.39939092701644</x:v>
      </x:c>
      <x:c r="J40" s="96" t="n">
        <x:f>J37*($F$26+($F$28-$F$26)*3/9)/(1+'Assumptions'!$B$21)^3</x:f>
        <x:v>691.2610104924489</x:v>
      </x:c>
      <x:c r="K40" s="96" t="n">
        <x:f>K37*($F$26+($F$28-$F$26)*4/9)/(1+'Assumptions'!$B$21)^4</x:f>
        <x:v>905.1769472469441</x:v>
      </x:c>
      <x:c r="L40" s="96" t="n">
        <x:f>L37*($F$26+($F$28-$F$26)*5/9)/(1+'Assumptions'!$B$21)^5</x:f>
        <x:v>1100.4396023116944</x:v>
      </x:c>
      <x:c r="M40" s="96" t="n">
        <x:f>M37*($F$26+($F$28-$F$26)*6/9)/(1+'Assumptions'!$B$21)^6</x:f>
        <x:v>1278.0296607027942</x:v>
      </x:c>
      <x:c r="N40" s="96" t="n">
        <x:f>N37*($F$26+($F$28-$F$26)*7/9)/(1+'Assumptions'!$B$21)^7</x:f>
        <x:v>1433.2669392549</x:v>
      </x:c>
      <x:c r="O40" s="96" t="n">
        <x:f>O37*($F$26+($F$28-$F$26)*8/9)/(1+'Assumptions'!$B$21)^8</x:f>
        <x:v>1562.3055703401799</x:v>
      </x:c>
      <x:c r="P40" s="96" t="n">
        <x:f>P37*($F$26+($F$28-$F$26)*9/9)/(1+'Assumptions'!$B$21)^9</x:f>
        <x:v>1662.2996823845917</x:v>
      </x:c>
      <x:c r="Q40" s="97" t="n">
        <x:f>P37*$F$28*(1+'Assumptions'!B22)/('Assumptions'!B21-'Assumptions'!B22)/(1+'Assumptions'!B21)^9</x:f>
        <x:v>22528.535169159597</x:v>
      </x:c>
    </x:row>
    <x:row r="41">
      <x:c r="A41" s="56"/>
      <x:c r="B41" s="57"/>
      <x:c r="C41" s="57"/>
      <x:c r="D41" s="57"/>
      <x:c r="E41" s="57"/>
      <x:c r="F41" s="57"/>
      <x:c r="G41" s="57"/>
      <x:c r="H41" s="57"/>
      <x:c r="I41" s="57"/>
      <x:c r="J41" s="57"/>
      <x:c r="K41" s="57"/>
      <x:c r="L41" s="57"/>
      <x:c r="M41" s="57"/>
      <x:c r="N41" s="57"/>
      <x:c r="O41" s="57"/>
      <x:c r="P41" s="57"/>
      <x:c r="Q41" s="58"/>
    </x:row>
    <x:row r="42">
      <x:c r="A42" s="56"/>
      <x:c r="B42" s="57"/>
      <x:c r="C42" s="57"/>
      <x:c r="D42" s="57"/>
      <x:c r="E42" s="57"/>
      <x:c r="F42" s="57"/>
      <x:c r="G42" s="57"/>
      <x:c r="H42" s="57"/>
      <x:c r="I42" s="57"/>
      <x:c r="J42" s="57"/>
      <x:c r="K42" s="57"/>
      <x:c r="L42" s="57"/>
      <x:c r="M42" s="57"/>
      <x:c r="N42" s="57"/>
      <x:c r="O42" s="57"/>
      <x:c r="P42" s="57"/>
      <x:c r="Q42" s="58"/>
    </x:row>
    <x:row r="43">
      <x:c r="A43" s="88" t="str">
        <x:v>Relative valuation diagnostic</x:v>
      </x:c>
      <x:c r="B43" s="89" t="str">
        <x:v>Relative valuation diagnostic</x:v>
      </x:c>
      <x:c r="C43" s="89" t="str">
        <x:v>Relative valuation diagnostic</x:v>
      </x:c>
      <x:c r="D43" s="89" t="str">
        <x:v>Relative valuation diagnostic</x:v>
      </x:c>
      <x:c r="E43" s="89" t="str">
        <x:v>Relative valuation diagnostic</x:v>
      </x:c>
      <x:c r="F43" s="89" t="str">
        <x:v>Relative valuation diagnostic</x:v>
      </x:c>
      <x:c r="G43" s="57"/>
      <x:c r="H43" s="57"/>
      <x:c r="I43" s="57"/>
      <x:c r="J43" s="57"/>
      <x:c r="K43" s="57"/>
      <x:c r="L43" s="57"/>
      <x:c r="M43" s="57"/>
      <x:c r="N43" s="57"/>
      <x:c r="O43" s="57"/>
      <x:c r="P43" s="57"/>
      <x:c r="Q43" s="58"/>
    </x:row>
    <x:row r="44">
      <x:c r="A44" s="59" t="str">
        <x:v>Metric</x:v>
      </x:c>
      <x:c r="B44" s="60" t="str">
        <x:v>2026E</x:v>
      </x:c>
      <x:c r="C44" s="60" t="str">
        <x:v>Comment</x:v>
      </x:c>
      <x:c r="D44" s="57"/>
      <x:c r="E44" s="57"/>
      <x:c r="F44" s="57"/>
      <x:c r="G44" s="57"/>
      <x:c r="H44" s="57"/>
      <x:c r="I44" s="57"/>
      <x:c r="J44" s="57"/>
      <x:c r="K44" s="57"/>
      <x:c r="L44" s="57"/>
      <x:c r="M44" s="57"/>
      <x:c r="N44" s="57"/>
      <x:c r="O44" s="57"/>
      <x:c r="P44" s="57"/>
      <x:c r="Q44" s="58"/>
    </x:row>
    <x:row r="45">
      <x:c r="A45" s="56" t="str">
        <x:v>EV / revenue</x:v>
      </x:c>
      <x:c r="B45" s="98" t="n">
        <x:f>B11/'Forecast'!C5</x:f>
        <x:v>3.979867710313531</x:v>
      </x:c>
      <x:c r="C45" s="57" t="str">
        <x:v>Revenue includes media/pass-through economics</x:v>
      </x:c>
      <x:c r="D45" s="57"/>
      <x:c r="E45" s="57"/>
      <x:c r="F45" s="57"/>
      <x:c r="G45" s="57"/>
      <x:c r="H45" s="57"/>
      <x:c r="I45" s="57"/>
      <x:c r="J45" s="57"/>
      <x:c r="K45" s="57"/>
      <x:c r="L45" s="57"/>
      <x:c r="M45" s="57"/>
      <x:c r="N45" s="57"/>
      <x:c r="O45" s="57"/>
      <x:c r="P45" s="57"/>
      <x:c r="Q45" s="58"/>
    </x:row>
    <x:row r="46">
      <x:c r="A46" s="56" t="str">
        <x:v>EV / adjusted EBITDA</x:v>
      </x:c>
      <x:c r="B46" s="98" t="n">
        <x:f>B11/'Forecast'!C8</x:f>
        <x:v>17.846940404993415</x:v>
      </x:c>
      <x:c r="C46" s="57" t="str">
        <x:v>Excludes SBC and recurring acquisition costs</x:v>
      </x:c>
      <x:c r="D46" s="57"/>
      <x:c r="E46" s="57"/>
      <x:c r="F46" s="57"/>
      <x:c r="G46" s="57"/>
      <x:c r="H46" s="57"/>
      <x:c r="I46" s="57"/>
      <x:c r="J46" s="57"/>
      <x:c r="K46" s="57"/>
      <x:c r="L46" s="57"/>
      <x:c r="M46" s="57"/>
      <x:c r="N46" s="57"/>
      <x:c r="O46" s="57"/>
      <x:c r="P46" s="57"/>
      <x:c r="Q46" s="58"/>
    </x:row>
    <x:row r="47">
      <x:c r="A47" s="56" t="str">
        <x:v>EV / normalised EBITDA</x:v>
      </x:c>
      <x:c r="B47" s="98" t="n">
        <x:f>B11/'Forecast'!C13</x:f>
        <x:v>37.05649637163437</x:v>
      </x:c>
      <x:c r="C47" s="57" t="str">
        <x:v>Retains SBC and recurring M&amp;A/restructuring</x:v>
      </x:c>
      <x:c r="D47" s="57"/>
      <x:c r="E47" s="57"/>
      <x:c r="F47" s="57"/>
      <x:c r="G47" s="57"/>
      <x:c r="H47" s="57"/>
      <x:c r="I47" s="57"/>
      <x:c r="J47" s="57"/>
      <x:c r="K47" s="57"/>
      <x:c r="L47" s="57"/>
      <x:c r="M47" s="57"/>
      <x:c r="N47" s="57"/>
      <x:c r="O47" s="57"/>
      <x:c r="P47" s="57"/>
      <x:c r="Q47" s="58"/>
    </x:row>
    <x:row r="48">
      <x:c r="A48" s="56" t="str">
        <x:v>Equity / company FCF</x:v>
      </x:c>
      <x:c r="B48" s="98" t="n">
        <x:f>B7/'Forecast'!C25</x:f>
        <x:v>28.581925175675675</x:v>
      </x:c>
      <x:c r="C48" s="57" t="str">
        <x:v>Company non-GAAP cash flow</x:v>
      </x:c>
      <x:c r="D48" s="57"/>
      <x:c r="E48" s="57"/>
      <x:c r="F48" s="57"/>
      <x:c r="G48" s="57"/>
      <x:c r="H48" s="57"/>
      <x:c r="I48" s="57"/>
      <x:c r="J48" s="57"/>
      <x:c r="K48" s="57"/>
      <x:c r="L48" s="57"/>
      <x:c r="M48" s="57"/>
      <x:c r="N48" s="57"/>
      <x:c r="O48" s="57"/>
      <x:c r="P48" s="57"/>
      <x:c r="Q48" s="58"/>
    </x:row>
    <x:row r="49">
      <x:c r="A49" s="56" t="str">
        <x:v>Equity / standard FCFE</x:v>
      </x:c>
      <x:c r="B49" s="98" t="n">
        <x:f>B7/'Forecast'!C27</x:f>
        <x:v>23.90096789174582</x:v>
      </x:c>
      <x:c r="C49" s="57" t="str">
        <x:v>Includes financing; 2026 distorted by refinancing</x:v>
      </x:c>
      <x:c r="D49" s="57"/>
      <x:c r="E49" s="57"/>
      <x:c r="F49" s="57"/>
      <x:c r="G49" s="57"/>
      <x:c r="H49" s="57"/>
      <x:c r="I49" s="57"/>
      <x:c r="J49" s="57"/>
      <x:c r="K49" s="57"/>
      <x:c r="L49" s="57"/>
      <x:c r="M49" s="57"/>
      <x:c r="N49" s="57"/>
      <x:c r="O49" s="57"/>
      <x:c r="P49" s="57"/>
      <x:c r="Q49" s="58"/>
    </x:row>
    <x:row r="50">
      <x:c r="A50" s="56" t="str">
        <x:v>Equity / SBC-adjusted FCF</x:v>
      </x:c>
      <x:c r="B50" s="98" t="n">
        <x:f>B7/'Forecast'!C29</x:f>
        <x:v>132.33956671327678</x:v>
      </x:c>
      <x:c r="C50" s="57" t="str">
        <x:v>Primary economic diagnostic</x:v>
      </x:c>
      <x:c r="D50" s="57"/>
      <x:c r="E50" s="57"/>
      <x:c r="F50" s="57"/>
      <x:c r="G50" s="57"/>
      <x:c r="H50" s="57"/>
      <x:c r="I50" s="57"/>
      <x:c r="J50" s="57"/>
      <x:c r="K50" s="57"/>
      <x:c r="L50" s="57"/>
      <x:c r="M50" s="57"/>
      <x:c r="N50" s="57"/>
      <x:c r="O50" s="57"/>
      <x:c r="P50" s="57"/>
      <x:c r="Q50" s="58"/>
    </x:row>
    <x:row r="51">
      <x:c r="A51" s="56"/>
      <x:c r="B51" s="57"/>
      <x:c r="C51" s="57"/>
      <x:c r="D51" s="57"/>
      <x:c r="E51" s="57"/>
      <x:c r="F51" s="57"/>
      <x:c r="G51" s="57"/>
      <x:c r="H51" s="57"/>
      <x:c r="I51" s="57"/>
      <x:c r="J51" s="57"/>
      <x:c r="K51" s="57"/>
      <x:c r="L51" s="57"/>
      <x:c r="M51" s="57"/>
      <x:c r="N51" s="57"/>
      <x:c r="O51" s="57"/>
      <x:c r="P51" s="57"/>
      <x:c r="Q51" s="58"/>
    </x:row>
    <x:row r="52">
      <x:c r="A52" s="56"/>
      <x:c r="B52" s="57"/>
      <x:c r="C52" s="57"/>
      <x:c r="D52" s="57"/>
      <x:c r="E52" s="57"/>
      <x:c r="F52" s="57"/>
      <x:c r="G52" s="57"/>
      <x:c r="H52" s="57"/>
      <x:c r="I52" s="57"/>
      <x:c r="J52" s="57"/>
      <x:c r="K52" s="57"/>
      <x:c r="L52" s="57"/>
      <x:c r="M52" s="57"/>
      <x:c r="N52" s="57"/>
      <x:c r="O52" s="57"/>
      <x:c r="P52" s="57"/>
      <x:c r="Q52" s="58"/>
    </x:row>
    <x:row r="53">
      <x:c r="A53" s="88" t="str">
        <x:v>Dilution-only cross-check — standard FCFE per fully diluted share (no SBC deduction)</x:v>
      </x:c>
      <x:c r="B53" s="89" t="str">
        <x:v>Dilution-only cross-check — standard FCFE per fully diluted share (no SBC deduction)</x:v>
      </x:c>
      <x:c r="C53" s="89" t="str">
        <x:v>Dilution-only cross-check — standard FCFE per fully diluted share (no SBC deduction)</x:v>
      </x:c>
      <x:c r="D53" s="89" t="str">
        <x:v>Dilution-only cross-check — standard FCFE per fully diluted share (no SBC deduction)</x:v>
      </x:c>
      <x:c r="E53" s="89" t="str">
        <x:v>Dilution-only cross-check — standard FCFE per fully diluted share (no SBC deduction)</x:v>
      </x:c>
      <x:c r="F53" s="89" t="str">
        <x:v>Dilution-only cross-check — standard FCFE per fully diluted share (no SBC deduction)</x:v>
      </x:c>
      <x:c r="G53" s="89" t="str">
        <x:v>Dilution-only cross-check — standard FCFE per fully diluted share (no SBC deduction)</x:v>
      </x:c>
      <x:c r="H53" s="89" t="str">
        <x:v>Dilution-only cross-check — standard FCFE per fully diluted share (no SBC deduction)</x:v>
      </x:c>
      <x:c r="I53" s="89" t="str">
        <x:v>Dilution-only cross-check — standard FCFE per fully diluted share (no SBC deduction)</x:v>
      </x:c>
      <x:c r="J53" s="89" t="str">
        <x:v>Dilution-only cross-check — standard FCFE per fully diluted share (no SBC deduction)</x:v>
      </x:c>
      <x:c r="K53" s="89" t="str">
        <x:v>Dilution-only cross-check — standard FCFE per fully diluted share (no SBC deduction)</x:v>
      </x:c>
      <x:c r="L53" s="89" t="str">
        <x:v>Dilution-only cross-check — standard FCFE per fully diluted share (no SBC deduction)</x:v>
      </x:c>
      <x:c r="M53" s="57"/>
      <x:c r="N53" s="57"/>
      <x:c r="O53" s="57"/>
      <x:c r="P53" s="57"/>
      <x:c r="Q53" s="58"/>
    </x:row>
    <x:row r="54">
      <x:c r="A54" s="59" t="str"/>
      <x:c r="B54" s="60" t="str">
        <x:v>2026E</x:v>
      </x:c>
      <x:c r="C54" s="60" t="str">
        <x:v>2027E</x:v>
      </x:c>
      <x:c r="D54" s="60" t="str">
        <x:v>2028E</x:v>
      </x:c>
      <x:c r="E54" s="60" t="str">
        <x:v>2029E</x:v>
      </x:c>
      <x:c r="F54" s="60" t="str">
        <x:v>2030E</x:v>
      </x:c>
      <x:c r="G54" s="60" t="str">
        <x:v>2031E</x:v>
      </x:c>
      <x:c r="H54" s="60" t="str">
        <x:v>2032E</x:v>
      </x:c>
      <x:c r="I54" s="60" t="str">
        <x:v>2033E</x:v>
      </x:c>
      <x:c r="J54" s="60" t="str">
        <x:v>2034E</x:v>
      </x:c>
      <x:c r="K54" s="60" t="str">
        <x:v>2035E</x:v>
      </x:c>
      <x:c r="L54" s="60" t="str">
        <x:v>Terminal</x:v>
      </x:c>
      <x:c r="M54" s="57"/>
      <x:c r="N54" s="57"/>
      <x:c r="O54" s="57"/>
      <x:c r="P54" s="57"/>
      <x:c r="Q54" s="58"/>
    </x:row>
    <x:row r="55">
      <x:c r="A55" s="56" t="str">
        <x:v>Standard FCFE / diluted share</x:v>
      </x:c>
      <x:c r="B55" s="79" t="n">
        <x:f>'Forecast'!C28</x:f>
        <x:v>1.1898752164980708</x:v>
      </x:c>
      <x:c r="C55" s="79" t="n">
        <x:f>'Forecast'!D28</x:f>
        <x:v>1.1969624243073584</x:v>
      </x:c>
      <x:c r="D55" s="79" t="n">
        <x:f>'Forecast'!E28</x:f>
        <x:v>1.3912790559217438</x:v>
      </x:c>
      <x:c r="E55" s="79" t="n">
        <x:f>'Forecast'!F28</x:f>
        <x:v>1.6274796409850623</x:v>
      </x:c>
      <x:c r="F55" s="79" t="n">
        <x:f>'Forecast'!G28</x:f>
        <x:v>1.884499752354769</x:v>
      </x:c>
      <x:c r="G55" s="79" t="n">
        <x:f>'Forecast'!H28</x:f>
        <x:v>2.146754118331533</x:v>
      </x:c>
      <x:c r="H55" s="79" t="n">
        <x:f>'Forecast'!I28</x:f>
        <x:v>2.355947979784372</x:v>
      </x:c>
      <x:c r="I55" s="79" t="n">
        <x:f>'Forecast'!J28</x:f>
        <x:v>2.572638692046718</x:v>
      </x:c>
      <x:c r="J55" s="79" t="n">
        <x:f>'Forecast'!K28</x:f>
        <x:v>2.781265610854487</x:v>
      </x:c>
      <x:c r="K55" s="79" t="n">
        <x:f>'Forecast'!L28</x:f>
        <x:v>2.9766730600335616</x:v>
      </x:c>
      <x:c r="L55" s="79"/>
      <x:c r="M55" s="57"/>
      <x:c r="N55" s="57"/>
      <x:c r="O55" s="57"/>
      <x:c r="P55" s="57"/>
      <x:c r="Q55" s="58"/>
    </x:row>
    <x:row r="56">
      <x:c r="A56" s="56" t="str">
        <x:v>Discount period</x:v>
      </x:c>
      <x:c r="B56" s="92" t="n">
        <x:v>0</x:v>
      </x:c>
      <x:c r="C56" s="92" t="n">
        <x:v>1</x:v>
      </x:c>
      <x:c r="D56" s="92" t="n">
        <x:v>2</x:v>
      </x:c>
      <x:c r="E56" s="92" t="n">
        <x:v>3</x:v>
      </x:c>
      <x:c r="F56" s="92" t="n">
        <x:v>4</x:v>
      </x:c>
      <x:c r="G56" s="92" t="n">
        <x:v>5</x:v>
      </x:c>
      <x:c r="H56" s="92" t="n">
        <x:v>6</x:v>
      </x:c>
      <x:c r="I56" s="92" t="n">
        <x:v>7</x:v>
      </x:c>
      <x:c r="J56" s="92" t="n">
        <x:v>8</x:v>
      </x:c>
      <x:c r="K56" s="92" t="n">
        <x:v>9</x:v>
      </x:c>
      <x:c r="L56" s="76"/>
      <x:c r="M56" s="57"/>
      <x:c r="N56" s="57"/>
      <x:c r="O56" s="57"/>
      <x:c r="P56" s="57"/>
      <x:c r="Q56" s="58"/>
    </x:row>
    <x:row r="57">
      <x:c r="A57" s="56" t="str">
        <x:v>Discount factor</x:v>
      </x:c>
      <x:c r="B57" s="93" t="n">
        <x:v>1</x:v>
      </x:c>
      <x:c r="C57" s="93" t="n">
        <x:f>1/(1+'Assumptions'!B21)^C56</x:f>
        <x:v>0.9041591320072332</x:v>
      </x:c>
      <x:c r="D57" s="93" t="n">
        <x:f>1/(1+'Assumptions'!B21)^D56</x:f>
        <x:v>0.8175037359920734</x:v>
      </x:c>
      <x:c r="E57" s="93" t="n">
        <x:f>1/(1+'Assumptions'!B21)^E56</x:f>
        <x:v>0.7391534683472634</x:v>
      </x:c>
      <x:c r="F57" s="93" t="n">
        <x:f>1/(1+'Assumptions'!B21)^F56</x:f>
        <x:v>0.6683123583609976</x:v>
      </x:c>
      <x:c r="G57" s="93" t="n">
        <x:f>1/(1+'Assumptions'!B21)^G56</x:f>
        <x:v>0.6042607218453865</x:v>
      </x:c>
      <x:c r="H57" s="93" t="n">
        <x:f>1/(1+'Assumptions'!B21)^H56</x:f>
        <x:v>0.5463478497697889</x:v>
      </x:c>
      <x:c r="I57" s="93" t="n">
        <x:f>1/(1+'Assumptions'!B21)^I56</x:f>
        <x:v>0.49398539762187055</x:v>
      </x:c>
      <x:c r="J57" s="93" t="n">
        <x:f>1/(1+'Assumptions'!B21)^J56</x:f>
        <x:v>0.4466414083380384</x:v>
      </x:c>
      <x:c r="K57" s="93" t="n">
        <x:f>1/(1+'Assumptions'!B21)^K56</x:f>
        <x:v>0.40383490808140904</x:v>
      </x:c>
      <x:c r="L57" s="76"/>
      <x:c r="M57" s="57"/>
      <x:c r="N57" s="57"/>
      <x:c r="O57" s="57"/>
      <x:c r="P57" s="57"/>
      <x:c r="Q57" s="58"/>
    </x:row>
    <x:row r="58">
      <x:c r="A58" s="56" t="str">
        <x:v>PV per-share FCFE</x:v>
      </x:c>
      <x:c r="B58" s="79" t="n">
        <x:f>B55*B57</x:f>
        <x:v>1.1898752164980708</x:v>
      </x:c>
      <x:c r="C58" s="79" t="n">
        <x:f>C55*C57</x:f>
        <x:v>1.0822445066070148</x:v>
      </x:c>
      <x:c r="D58" s="79" t="n">
        <x:f>D55*D57</x:f>
        <x:v>1.1373758260235505</x:v>
      </x:c>
      <x:c r="E58" s="79" t="n">
        <x:f>E55*E57</x:f>
        <x:v>1.2029572212986677</x:v>
      </x:c>
      <x:c r="F58" s="79" t="n">
        <x:f>F55*F57</x:f>
        <x:v>1.2594344738269316</x:v>
      </x:c>
      <x:c r="G58" s="79" t="n">
        <x:f>G55*G57</x:f>
        <x:v>1.2971991931675684</x:v>
      </x:c>
      <x:c r="H58" s="79" t="n">
        <x:f>H55*H57</x:f>
        <x:v>1.2871671129246696</x:v>
      </x:c>
      <x:c r="I58" s="79" t="n">
        <x:f>I55*I57</x:f>
        <x:v>1.270845947228107</x:v>
      </x:c>
      <x:c r="J58" s="79" t="n">
        <x:f>J55*J57</x:f>
        <x:v>1.2422283893942025</x:v>
      </x:c>
      <x:c r="K58" s="79" t="n">
        <x:f>K55*K57</x:f>
        <x:v>1.2020844915870599</x:v>
      </x:c>
      <x:c r="L58" s="79" t="n">
        <x:f>L59*K57</x:f>
        <x:v>15.211563010823903</x:v>
      </x:c>
      <x:c r="M58" s="57"/>
      <x:c r="N58" s="57"/>
      <x:c r="O58" s="57"/>
      <x:c r="P58" s="57"/>
      <x:c r="Q58" s="58"/>
    </x:row>
    <x:row r="59">
      <x:c r="A59" s="56" t="str">
        <x:v>Terminal per-share value</x:v>
      </x:c>
      <x:c r="B59" s="79"/>
      <x:c r="C59" s="79"/>
      <x:c r="D59" s="79"/>
      <x:c r="E59" s="79"/>
      <x:c r="F59" s="79"/>
      <x:c r="G59" s="79"/>
      <x:c r="H59" s="79"/>
      <x:c r="I59" s="79"/>
      <x:c r="J59" s="79"/>
      <x:c r="K59" s="79"/>
      <x:c r="L59" s="79" t="n">
        <x:f>K55*(1+('Assumptions'!B22-'Assumptions'!K13))/('Assumptions'!B21-('Assumptions'!B22-'Assumptions'!K13))</x:f>
        <x:v>37.6677763769679</x:v>
      </x:c>
      <x:c r="M59" s="57"/>
      <x:c r="N59" s="57"/>
      <x:c r="O59" s="57"/>
      <x:c r="P59" s="57"/>
      <x:c r="Q59" s="58"/>
    </x:row>
    <x:row r="60">
      <x:c r="A60" s="56"/>
      <x:c r="B60" s="57"/>
      <x:c r="C60" s="57"/>
      <x:c r="D60" s="57"/>
      <x:c r="E60" s="57"/>
      <x:c r="F60" s="57"/>
      <x:c r="G60" s="57"/>
      <x:c r="H60" s="57"/>
      <x:c r="I60" s="57"/>
      <x:c r="J60" s="57"/>
      <x:c r="K60" s="57"/>
      <x:c r="L60" s="57"/>
      <x:c r="M60" s="57"/>
      <x:c r="N60" s="57"/>
      <x:c r="O60" s="57"/>
      <x:c r="P60" s="57"/>
      <x:c r="Q60" s="58"/>
    </x:row>
    <x:row r="61">
      <x:c r="A61" s="59" t="str">
        <x:v>Dilution cross-check</x:v>
      </x:c>
      <x:c r="B61" s="60" t="str">
        <x:v>Value</x:v>
      </x:c>
      <x:c r="C61" s="57"/>
      <x:c r="D61" s="71" t="str">
        <x:v>Method guardrail: this cross-check does not deduct SBC. Instead, standard FCFE is divided by forecast diluted shares and terminal per-share growth is reduced by the terminal dilution rate. It therefore tests the alternative economic treatment rather than charging both SBC expense and full dilution. Acquisition cash remains outside textbook FCFE and is shown separately in the Normalisation sheet.</x:v>
      </x:c>
      <x:c r="E61" s="71" t="str">
        <x:v>Method guardrail: this cross-check does not deduct SBC. Instead, standard FCFE is divided by forecast diluted shares and terminal per-share growth is reduced by the terminal dilution rate. It therefore tests the alternative economic treatment rather than charging both SBC expense and full dilution. Acquisition cash remains outside textbook FCFE and is shown separately in the Normalisation sheet.</x:v>
      </x:c>
      <x:c r="F61" s="71" t="str">
        <x:v>Method guardrail: this cross-check does not deduct SBC. Instead, standard FCFE is divided by forecast diluted shares and terminal per-share growth is reduced by the terminal dilution rate. It therefore tests the alternative economic treatment rather than charging both SBC expense and full dilution. Acquisition cash remains outside textbook FCFE and is shown separately in the Normalisation sheet.</x:v>
      </x:c>
      <x:c r="G61" s="71" t="str">
        <x:v>Method guardrail: this cross-check does not deduct SBC. Instead, standard FCFE is divided by forecast diluted shares and terminal per-share growth is reduced by the terminal dilution rate. It therefore tests the alternative economic treatment rather than charging both SBC expense and full dilution. Acquisition cash remains outside textbook FCFE and is shown separately in the Normalisation sheet.</x:v>
      </x:c>
      <x:c r="H61" s="71" t="str">
        <x:v>Method guardrail: this cross-check does not deduct SBC. Instead, standard FCFE is divided by forecast diluted shares and terminal per-share growth is reduced by the terminal dilution rate. It therefore tests the alternative economic treatment rather than charging both SBC expense and full dilution. Acquisition cash remains outside textbook FCFE and is shown separately in the Normalisation sheet.</x:v>
      </x:c>
      <x:c r="I61" s="71" t="str">
        <x:v>Method guardrail: this cross-check does not deduct SBC. Instead, standard FCFE is divided by forecast diluted shares and terminal per-share growth is reduced by the terminal dilution rate. It therefore tests the alternative economic treatment rather than charging both SBC expense and full dilution. Acquisition cash remains outside textbook FCFE and is shown separately in the Normalisation sheet.</x:v>
      </x:c>
      <x:c r="J61" s="71" t="str">
        <x:v>Method guardrail: this cross-check does not deduct SBC. Instead, standard FCFE is divided by forecast diluted shares and terminal per-share growth is reduced by the terminal dilution rate. It therefore tests the alternative economic treatment rather than charging both SBC expense and full dilution. Acquisition cash remains outside textbook FCFE and is shown separately in the Normalisation sheet.</x:v>
      </x:c>
      <x:c r="K61" s="71" t="str">
        <x:v>Method guardrail: this cross-check does not deduct SBC. Instead, standard FCFE is divided by forecast diluted shares and terminal per-share growth is reduced by the terminal dilution rate. It therefore tests the alternative economic treatment rather than charging both SBC expense and full dilution. Acquisition cash remains outside textbook FCFE and is shown separately in the Normalisation sheet.</x:v>
      </x:c>
      <x:c r="L61" s="71" t="str">
        <x:v>Method guardrail: this cross-check does not deduct SBC. Instead, standard FCFE is divided by forecast diluted shares and terminal per-share growth is reduced by the terminal dilution rate. It therefore tests the alternative economic treatment rather than charging both SBC expense and full dilution. Acquisition cash remains outside textbook FCFE and is shown separately in the Normalisation sheet.</x:v>
      </x:c>
      <x:c r="M61" s="57"/>
      <x:c r="N61" s="57"/>
      <x:c r="O61" s="57"/>
      <x:c r="P61" s="57"/>
      <x:c r="Q61" s="58"/>
    </x:row>
    <x:row r="62">
      <x:c r="A62" s="56" t="str">
        <x:v>PV explicit per-share FCFE</x:v>
      </x:c>
      <x:c r="B62" s="99" t="n">
        <x:f>SUM(C58:K58)</x:f>
        <x:v>10.981537162057771</x:v>
      </x:c>
      <x:c r="C62" s="57"/>
      <x:c r="D62" s="71" t="str">
        <x:v>Method guardrail: this cross-check does not deduct SBC. Instead, standard FCFE is divided by forecast diluted shares and terminal per-share growth is reduced by the terminal dilution rate. It therefore tests the alternative economic treatment rather than charging both SBC expense and full dilution. Acquisition cash remains outside textbook FCFE and is shown separately in the Normalisation sheet.</x:v>
      </x:c>
      <x:c r="E62" s="71" t="str">
        <x:v>Method guardrail: this cross-check does not deduct SBC. Instead, standard FCFE is divided by forecast diluted shares and terminal per-share growth is reduced by the terminal dilution rate. It therefore tests the alternative economic treatment rather than charging both SBC expense and full dilution. Acquisition cash remains outside textbook FCFE and is shown separately in the Normalisation sheet.</x:v>
      </x:c>
      <x:c r="F62" s="71" t="str">
        <x:v>Method guardrail: this cross-check does not deduct SBC. Instead, standard FCFE is divided by forecast diluted shares and terminal per-share growth is reduced by the terminal dilution rate. It therefore tests the alternative economic treatment rather than charging both SBC expense and full dilution. Acquisition cash remains outside textbook FCFE and is shown separately in the Normalisation sheet.</x:v>
      </x:c>
      <x:c r="G62" s="71" t="str">
        <x:v>Method guardrail: this cross-check does not deduct SBC. Instead, standard FCFE is divided by forecast diluted shares and terminal per-share growth is reduced by the terminal dilution rate. It therefore tests the alternative economic treatment rather than charging both SBC expense and full dilution. Acquisition cash remains outside textbook FCFE and is shown separately in the Normalisation sheet.</x:v>
      </x:c>
      <x:c r="H62" s="71" t="str">
        <x:v>Method guardrail: this cross-check does not deduct SBC. Instead, standard FCFE is divided by forecast diluted shares and terminal per-share growth is reduced by the terminal dilution rate. It therefore tests the alternative economic treatment rather than charging both SBC expense and full dilution. Acquisition cash remains outside textbook FCFE and is shown separately in the Normalisation sheet.</x:v>
      </x:c>
      <x:c r="I62" s="71" t="str">
        <x:v>Method guardrail: this cross-check does not deduct SBC. Instead, standard FCFE is divided by forecast diluted shares and terminal per-share growth is reduced by the terminal dilution rate. It therefore tests the alternative economic treatment rather than charging both SBC expense and full dilution. Acquisition cash remains outside textbook FCFE and is shown separately in the Normalisation sheet.</x:v>
      </x:c>
      <x:c r="J62" s="71" t="str">
        <x:v>Method guardrail: this cross-check does not deduct SBC. Instead, standard FCFE is divided by forecast diluted shares and terminal per-share growth is reduced by the terminal dilution rate. It therefore tests the alternative economic treatment rather than charging both SBC expense and full dilution. Acquisition cash remains outside textbook FCFE and is shown separately in the Normalisation sheet.</x:v>
      </x:c>
      <x:c r="K62" s="71" t="str">
        <x:v>Method guardrail: this cross-check does not deduct SBC. Instead, standard FCFE is divided by forecast diluted shares and terminal per-share growth is reduced by the terminal dilution rate. It therefore tests the alternative economic treatment rather than charging both SBC expense and full dilution. Acquisition cash remains outside textbook FCFE and is shown separately in the Normalisation sheet.</x:v>
      </x:c>
      <x:c r="L62" s="71" t="str">
        <x:v>Method guardrail: this cross-check does not deduct SBC. Instead, standard FCFE is divided by forecast diluted shares and terminal per-share growth is reduced by the terminal dilution rate. It therefore tests the alternative economic treatment rather than charging both SBC expense and full dilution. Acquisition cash remains outside textbook FCFE and is shown separately in the Normalisation sheet.</x:v>
      </x:c>
      <x:c r="M62" s="57"/>
      <x:c r="N62" s="57"/>
      <x:c r="O62" s="57"/>
      <x:c r="P62" s="57"/>
      <x:c r="Q62" s="58"/>
    </x:row>
    <x:row r="63">
      <x:c r="A63" s="56" t="str">
        <x:v>PV terminal per-share</x:v>
      </x:c>
      <x:c r="B63" s="99" t="n">
        <x:f>L58</x:f>
        <x:v>15.211563010823903</x:v>
      </x:c>
      <x:c r="C63" s="57"/>
      <x:c r="D63" s="71" t="str">
        <x:v>Method guardrail: this cross-check does not deduct SBC. Instead, standard FCFE is divided by forecast diluted shares and terminal per-share growth is reduced by the terminal dilution rate. It therefore tests the alternative economic treatment rather than charging both SBC expense and full dilution. Acquisition cash remains outside textbook FCFE and is shown separately in the Normalisation sheet.</x:v>
      </x:c>
      <x:c r="E63" s="71" t="str">
        <x:v>Method guardrail: this cross-check does not deduct SBC. Instead, standard FCFE is divided by forecast diluted shares and terminal per-share growth is reduced by the terminal dilution rate. It therefore tests the alternative economic treatment rather than charging both SBC expense and full dilution. Acquisition cash remains outside textbook FCFE and is shown separately in the Normalisation sheet.</x:v>
      </x:c>
      <x:c r="F63" s="71" t="str">
        <x:v>Method guardrail: this cross-check does not deduct SBC. Instead, standard FCFE is divided by forecast diluted shares and terminal per-share growth is reduced by the terminal dilution rate. It therefore tests the alternative economic treatment rather than charging both SBC expense and full dilution. Acquisition cash remains outside textbook FCFE and is shown separately in the Normalisation sheet.</x:v>
      </x:c>
      <x:c r="G63" s="71" t="str">
        <x:v>Method guardrail: this cross-check does not deduct SBC. Instead, standard FCFE is divided by forecast diluted shares and terminal per-share growth is reduced by the terminal dilution rate. It therefore tests the alternative economic treatment rather than charging both SBC expense and full dilution. Acquisition cash remains outside textbook FCFE and is shown separately in the Normalisation sheet.</x:v>
      </x:c>
      <x:c r="H63" s="71" t="str">
        <x:v>Method guardrail: this cross-check does not deduct SBC. Instead, standard FCFE is divided by forecast diluted shares and terminal per-share growth is reduced by the terminal dilution rate. It therefore tests the alternative economic treatment rather than charging both SBC expense and full dilution. Acquisition cash remains outside textbook FCFE and is shown separately in the Normalisation sheet.</x:v>
      </x:c>
      <x:c r="I63" s="71" t="str">
        <x:v>Method guardrail: this cross-check does not deduct SBC. Instead, standard FCFE is divided by forecast diluted shares and terminal per-share growth is reduced by the terminal dilution rate. It therefore tests the alternative economic treatment rather than charging both SBC expense and full dilution. Acquisition cash remains outside textbook FCFE and is shown separately in the Normalisation sheet.</x:v>
      </x:c>
      <x:c r="J63" s="71" t="str">
        <x:v>Method guardrail: this cross-check does not deduct SBC. Instead, standard FCFE is divided by forecast diluted shares and terminal per-share growth is reduced by the terminal dilution rate. It therefore tests the alternative economic treatment rather than charging both SBC expense and full dilution. Acquisition cash remains outside textbook FCFE and is shown separately in the Normalisation sheet.</x:v>
      </x:c>
      <x:c r="K63" s="71" t="str">
        <x:v>Method guardrail: this cross-check does not deduct SBC. Instead, standard FCFE is divided by forecast diluted shares and terminal per-share growth is reduced by the terminal dilution rate. It therefore tests the alternative economic treatment rather than charging both SBC expense and full dilution. Acquisition cash remains outside textbook FCFE and is shown separately in the Normalisation sheet.</x:v>
      </x:c>
      <x:c r="L63" s="71" t="str">
        <x:v>Method guardrail: this cross-check does not deduct SBC. Instead, standard FCFE is divided by forecast diluted shares and terminal per-share growth is reduced by the terminal dilution rate. It therefore tests the alternative economic treatment rather than charging both SBC expense and full dilution. Acquisition cash remains outside textbook FCFE and is shown separately in the Normalisation sheet.</x:v>
      </x:c>
      <x:c r="M63" s="57"/>
      <x:c r="N63" s="57"/>
      <x:c r="O63" s="57"/>
      <x:c r="P63" s="57"/>
      <x:c r="Q63" s="58"/>
    </x:row>
    <x:row r="64">
      <x:c r="A64" s="56" t="str">
        <x:v>Value / current share</x:v>
      </x:c>
      <x:c r="B64" s="99" t="n">
        <x:f>SUM(B62:B63)</x:f>
        <x:v>26.193100172881675</x:v>
      </x:c>
      <x:c r="C64" s="57"/>
      <x:c r="D64" s="71" t="str">
        <x:v>Method guardrail: this cross-check does not deduct SBC. Instead, standard FCFE is divided by forecast diluted shares and terminal per-share growth is reduced by the terminal dilution rate. It therefore tests the alternative economic treatment rather than charging both SBC expense and full dilution. Acquisition cash remains outside textbook FCFE and is shown separately in the Normalisation sheet.</x:v>
      </x:c>
      <x:c r="E64" s="71" t="str">
        <x:v>Method guardrail: this cross-check does not deduct SBC. Instead, standard FCFE is divided by forecast diluted shares and terminal per-share growth is reduced by the terminal dilution rate. It therefore tests the alternative economic treatment rather than charging both SBC expense and full dilution. Acquisition cash remains outside textbook FCFE and is shown separately in the Normalisation sheet.</x:v>
      </x:c>
      <x:c r="F64" s="71" t="str">
        <x:v>Method guardrail: this cross-check does not deduct SBC. Instead, standard FCFE is divided by forecast diluted shares and terminal per-share growth is reduced by the terminal dilution rate. It therefore tests the alternative economic treatment rather than charging both SBC expense and full dilution. Acquisition cash remains outside textbook FCFE and is shown separately in the Normalisation sheet.</x:v>
      </x:c>
      <x:c r="G64" s="71" t="str">
        <x:v>Method guardrail: this cross-check does not deduct SBC. Instead, standard FCFE is divided by forecast diluted shares and terminal per-share growth is reduced by the terminal dilution rate. It therefore tests the alternative economic treatment rather than charging both SBC expense and full dilution. Acquisition cash remains outside textbook FCFE and is shown separately in the Normalisation sheet.</x:v>
      </x:c>
      <x:c r="H64" s="71" t="str">
        <x:v>Method guardrail: this cross-check does not deduct SBC. Instead, standard FCFE is divided by forecast diluted shares and terminal per-share growth is reduced by the terminal dilution rate. It therefore tests the alternative economic treatment rather than charging both SBC expense and full dilution. Acquisition cash remains outside textbook FCFE and is shown separately in the Normalisation sheet.</x:v>
      </x:c>
      <x:c r="I64" s="71" t="str">
        <x:v>Method guardrail: this cross-check does not deduct SBC. Instead, standard FCFE is divided by forecast diluted shares and terminal per-share growth is reduced by the terminal dilution rate. It therefore tests the alternative economic treatment rather than charging both SBC expense and full dilution. Acquisition cash remains outside textbook FCFE and is shown separately in the Normalisation sheet.</x:v>
      </x:c>
      <x:c r="J64" s="71" t="str">
        <x:v>Method guardrail: this cross-check does not deduct SBC. Instead, standard FCFE is divided by forecast diluted shares and terminal per-share growth is reduced by the terminal dilution rate. It therefore tests the alternative economic treatment rather than charging both SBC expense and full dilution. Acquisition cash remains outside textbook FCFE and is shown separately in the Normalisation sheet.</x:v>
      </x:c>
      <x:c r="K64" s="71" t="str">
        <x:v>Method guardrail: this cross-check does not deduct SBC. Instead, standard FCFE is divided by forecast diluted shares and terminal per-share growth is reduced by the terminal dilution rate. It therefore tests the alternative economic treatment rather than charging both SBC expense and full dilution. Acquisition cash remains outside textbook FCFE and is shown separately in the Normalisation sheet.</x:v>
      </x:c>
      <x:c r="L64" s="71" t="str">
        <x:v>Method guardrail: this cross-check does not deduct SBC. Instead, standard FCFE is divided by forecast diluted shares and terminal per-share growth is reduced by the terminal dilution rate. It therefore tests the alternative economic treatment rather than charging both SBC expense and full dilution. Acquisition cash remains outside textbook FCFE and is shown separately in the Normalisation sheet.</x:v>
      </x:c>
      <x:c r="M64" s="57"/>
      <x:c r="N64" s="57"/>
      <x:c r="O64" s="57"/>
      <x:c r="P64" s="57"/>
      <x:c r="Q64" s="58"/>
    </x:row>
    <x:row r="65">
      <x:c r="A65" s="100" t="str">
        <x:v>Upside / (downside)</x:v>
      </x:c>
      <x:c r="B65" s="101" t="n">
        <x:f>B64/'Assumptions'!B16-1</x:f>
        <x:v>-0.09896456233637174</x:v>
      </x:c>
      <x:c r="C65" s="86"/>
      <x:c r="D65" s="74" t="str">
        <x:v>Method guardrail: this cross-check does not deduct SBC. Instead, standard FCFE is divided by forecast diluted shares and terminal per-share growth is reduced by the terminal dilution rate. It therefore tests the alternative economic treatment rather than charging both SBC expense and full dilution. Acquisition cash remains outside textbook FCFE and is shown separately in the Normalisation sheet.</x:v>
      </x:c>
      <x:c r="E65" s="74" t="str">
        <x:v>Method guardrail: this cross-check does not deduct SBC. Instead, standard FCFE is divided by forecast diluted shares and terminal per-share growth is reduced by the terminal dilution rate. It therefore tests the alternative economic treatment rather than charging both SBC expense and full dilution. Acquisition cash remains outside textbook FCFE and is shown separately in the Normalisation sheet.</x:v>
      </x:c>
      <x:c r="F65" s="74" t="str">
        <x:v>Method guardrail: this cross-check does not deduct SBC. Instead, standard FCFE is divided by forecast diluted shares and terminal per-share growth is reduced by the terminal dilution rate. It therefore tests the alternative economic treatment rather than charging both SBC expense and full dilution. Acquisition cash remains outside textbook FCFE and is shown separately in the Normalisation sheet.</x:v>
      </x:c>
      <x:c r="G65" s="74" t="str">
        <x:v>Method guardrail: this cross-check does not deduct SBC. Instead, standard FCFE is divided by forecast diluted shares and terminal per-share growth is reduced by the terminal dilution rate. It therefore tests the alternative economic treatment rather than charging both SBC expense and full dilution. Acquisition cash remains outside textbook FCFE and is shown separately in the Normalisation sheet.</x:v>
      </x:c>
      <x:c r="H65" s="74" t="str">
        <x:v>Method guardrail: this cross-check does not deduct SBC. Instead, standard FCFE is divided by forecast diluted shares and terminal per-share growth is reduced by the terminal dilution rate. It therefore tests the alternative economic treatment rather than charging both SBC expense and full dilution. Acquisition cash remains outside textbook FCFE and is shown separately in the Normalisation sheet.</x:v>
      </x:c>
      <x:c r="I65" s="74" t="str">
        <x:v>Method guardrail: this cross-check does not deduct SBC. Instead, standard FCFE is divided by forecast diluted shares and terminal per-share growth is reduced by the terminal dilution rate. It therefore tests the alternative economic treatment rather than charging both SBC expense and full dilution. Acquisition cash remains outside textbook FCFE and is shown separately in the Normalisation sheet.</x:v>
      </x:c>
      <x:c r="J65" s="74" t="str">
        <x:v>Method guardrail: this cross-check does not deduct SBC. Instead, standard FCFE is divided by forecast diluted shares and terminal per-share growth is reduced by the terminal dilution rate. It therefore tests the alternative economic treatment rather than charging both SBC expense and full dilution. Acquisition cash remains outside textbook FCFE and is shown separately in the Normalisation sheet.</x:v>
      </x:c>
      <x:c r="K65" s="74" t="str">
        <x:v>Method guardrail: this cross-check does not deduct SBC. Instead, standard FCFE is divided by forecast diluted shares and terminal per-share growth is reduced by the terminal dilution rate. It therefore tests the alternative economic treatment rather than charging both SBC expense and full dilution. Acquisition cash remains outside textbook FCFE and is shown separately in the Normalisation sheet.</x:v>
      </x:c>
      <x:c r="L65" s="74" t="str">
        <x:v>Method guardrail: this cross-check does not deduct SBC. Instead, standard FCFE is divided by forecast diluted shares and terminal per-share growth is reduced by the terminal dilution rate. It therefore tests the alternative economic treatment rather than charging both SBC expense and full dilution. Acquisition cash remains outside textbook FCFE and is shown separately in the Normalisation sheet.</x:v>
      </x:c>
      <x:c r="M65" s="86"/>
      <x:c r="N65" s="86"/>
      <x:c r="O65" s="86"/>
      <x:c r="P65" s="86"/>
      <x:c r="Q65" s="87"/>
    </x:row>
  </x:sheetData>
  <x:mergeCells>
    <x:mergeCell ref="A1:J2"/>
    <x:mergeCell ref="A4:D4"/>
    <x:mergeCell ref="A16:L16"/>
    <x:mergeCell ref="E24:J24"/>
    <x:mergeCell ref="A43:F43"/>
    <x:mergeCell ref="A53:L53"/>
    <x:mergeCell ref="D61:L65"/>
  </x:mergeCell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31" hidden="0" customWidth="1"/>
    <x:col min="2" max="2" width="13" hidden="0" customWidth="1"/>
    <x:col min="3" max="3" width="13" hidden="0" customWidth="1"/>
    <x:col min="4" max="4" width="13" hidden="0" customWidth="1"/>
    <x:col min="5" max="5" width="13" hidden="0" customWidth="1"/>
    <x:col min="6" max="6" width="13" hidden="0" customWidth="1"/>
    <x:col min="7" max="7" width="13" hidden="0" customWidth="1"/>
    <x:col min="8" max="8" width="13" hidden="0" customWidth="1"/>
    <x:col min="9" max="9" width="13" hidden="0" customWidth="1"/>
    <x:col min="10" max="10" width="13" hidden="0" customWidth="1"/>
    <x:col min="11" max="11" width="13" hidden="0" customWidth="1"/>
    <x:col min="12" max="12" width="18" hidden="0" customWidth="1"/>
  </x:cols>
  <x:sheetData>
    <x:row r="1" ht="28" customHeight="1">
      <x:c r="A1" s="50" t="str">
        <x:v>Bear / Base / Bull Scenario Valuation</x:v>
      </x:c>
      <x:c r="B1" s="51" t="str">
        <x:v>Bear / Base / Bull Scenario Valuation</x:v>
      </x:c>
      <x:c r="C1" s="51" t="str">
        <x:v>Bear / Base / Bull Scenario Valuation</x:v>
      </x:c>
      <x:c r="D1" s="51" t="str">
        <x:v>Bear / Base / Bull Scenario Valuation</x:v>
      </x:c>
      <x:c r="E1" s="51" t="str">
        <x:v>Bear / Base / Bull Scenario Valuation</x:v>
      </x:c>
      <x:c r="F1" s="51" t="str">
        <x:v>Bear / Base / Bull Scenario Valuation</x:v>
      </x:c>
      <x:c r="G1" s="51" t="str">
        <x:v>Bear / Base / Bull Scenario Valuation</x:v>
      </x:c>
      <x:c r="H1" s="51" t="str">
        <x:v>Bear / Base / Bull Scenario Valuation</x:v>
      </x:c>
      <x:c r="I1" s="51" t="str">
        <x:v>Bear / Base / Bull Scenario Valuation</x:v>
      </x:c>
      <x:c r="J1" s="51" t="str">
        <x:v>Bear / Base / Bull Scenario Valuation</x:v>
      </x:c>
      <x:c r="K1" s="51" t="str">
        <x:v>Bear / Base / Bull Scenario Valuation</x:v>
      </x:c>
      <x:c r="L1" s="52" t="str">
        <x:v>Bear / Base / Bull Scenario Valuation</x:v>
      </x:c>
    </x:row>
    <x:row r="2" ht="28" customHeight="1">
      <x:c r="A2" s="53" t="str">
        <x:v>Bear / Base / Bull Scenario Valuation</x:v>
      </x:c>
      <x:c r="B2" s="54" t="str">
        <x:v>Bear / Base / Bull Scenario Valuation</x:v>
      </x:c>
      <x:c r="C2" s="54" t="str">
        <x:v>Bear / Base / Bull Scenario Valuation</x:v>
      </x:c>
      <x:c r="D2" s="54" t="str">
        <x:v>Bear / Base / Bull Scenario Valuation</x:v>
      </x:c>
      <x:c r="E2" s="54" t="str">
        <x:v>Bear / Base / Bull Scenario Valuation</x:v>
      </x:c>
      <x:c r="F2" s="54" t="str">
        <x:v>Bear / Base / Bull Scenario Valuation</x:v>
      </x:c>
      <x:c r="G2" s="54" t="str">
        <x:v>Bear / Base / Bull Scenario Valuation</x:v>
      </x:c>
      <x:c r="H2" s="54" t="str">
        <x:v>Bear / Base / Bull Scenario Valuation</x:v>
      </x:c>
      <x:c r="I2" s="54" t="str">
        <x:v>Bear / Base / Bull Scenario Valuation</x:v>
      </x:c>
      <x:c r="J2" s="54" t="str">
        <x:v>Bear / Base / Bull Scenario Valuation</x:v>
      </x:c>
      <x:c r="K2" s="54" t="str">
        <x:v>Bear / Base / Bull Scenario Valuation</x:v>
      </x:c>
      <x:c r="L2" s="55" t="str">
        <x:v>Bear / Base / Bull Scenario Valuation</x:v>
      </x:c>
    </x:row>
    <x:row r="3">
      <x:c r="A3" s="56"/>
      <x:c r="B3" s="57"/>
      <x:c r="C3" s="57"/>
      <x:c r="D3" s="57"/>
      <x:c r="E3" s="57"/>
      <x:c r="F3" s="57"/>
      <x:c r="G3" s="57"/>
      <x:c r="H3" s="57"/>
      <x:c r="I3" s="57"/>
      <x:c r="J3" s="57"/>
      <x:c r="K3" s="57"/>
      <x:c r="L3" s="58"/>
    </x:row>
    <x:row r="4">
      <x:c r="A4" s="59" t="str">
        <x:v>Bear</x:v>
      </x:c>
      <x:c r="B4" s="60" t="str">
        <x:v>2026E</x:v>
      </x:c>
      <x:c r="C4" s="60" t="str">
        <x:v>2027E</x:v>
      </x:c>
      <x:c r="D4" s="60" t="str">
        <x:v>2028E</x:v>
      </x:c>
      <x:c r="E4" s="60" t="str">
        <x:v>2029E</x:v>
      </x:c>
      <x:c r="F4" s="60" t="str">
        <x:v>2030E</x:v>
      </x:c>
      <x:c r="G4" s="60" t="str">
        <x:v>2031E</x:v>
      </x:c>
      <x:c r="H4" s="60" t="str">
        <x:v>2032E</x:v>
      </x:c>
      <x:c r="I4" s="60" t="str">
        <x:v>2033E</x:v>
      </x:c>
      <x:c r="J4" s="60" t="str">
        <x:v>2034E</x:v>
      </x:c>
      <x:c r="K4" s="60" t="str">
        <x:v>2035E</x:v>
      </x:c>
      <x:c r="L4" s="61" t="str">
        <x:v>DCF value/share</x:v>
      </x:c>
    </x:row>
    <x:row r="5">
      <x:c r="A5" s="56" t="str">
        <x:v>Revenue</x:v>
      </x:c>
      <x:c r="B5" s="102" t="n">
        <x:f>'Forecast'!C5</x:f>
        <x:v>1818</x:v>
      </x:c>
      <x:c r="C5" s="102" t="n">
        <x:f>B5*(1+'Assumptions'!C26)</x:f>
        <x:v>2036.16</x:v>
      </x:c>
      <x:c r="D5" s="102" t="n">
        <x:f>C5*(1+'Assumptions'!D26)</x:f>
        <x:v>2199.0528000000004</x:v>
      </x:c>
      <x:c r="E5" s="102" t="n">
        <x:f>D5*(1+'Assumptions'!E26)</x:f>
        <x:v>2374.9770240000007</x:v>
      </x:c>
      <x:c r="F5" s="102" t="n">
        <x:f>E5*(1+'Assumptions'!F26)</x:f>
        <x:v>2541.225415680001</x:v>
      </x:c>
      <x:c r="G5" s="102" t="n">
        <x:f>F5*(1+'Assumptions'!G26)</x:f>
        <x:v>2693.698940620801</x:v>
      </x:c>
      <x:c r="H5" s="102" t="n">
        <x:f>G5*(1+'Assumptions'!H26)</x:f>
        <x:v>2828.383887651841</x:v>
      </x:c>
      <x:c r="I5" s="102" t="n">
        <x:f>H5*(1+'Assumptions'!I26)</x:f>
        <x:v>2969.8030820344334</x:v>
      </x:c>
      <x:c r="J5" s="102" t="n">
        <x:f>I5*(1+'Assumptions'!J26)</x:f>
        <x:v>3088.5952053158107</x:v>
      </x:c>
      <x:c r="K5" s="102" t="n">
        <x:f>J5*(1+'Assumptions'!K26)</x:f>
        <x:v>3181.253061475285</x:v>
      </x:c>
      <x:c r="L5" s="77"/>
    </x:row>
    <x:row r="6">
      <x:c r="A6" s="56" t="str">
        <x:v>Company FCF margin</x:v>
      </x:c>
      <x:c r="B6" s="78" t="n">
        <x:f>'Assumptions'!B27</x:f>
        <x:v>0.14</x:v>
      </x:c>
      <x:c r="C6" s="78" t="n">
        <x:f>'Assumptions'!C27</x:f>
        <x:v>0.145</x:v>
      </x:c>
      <x:c r="D6" s="78" t="n">
        <x:f>'Assumptions'!D27</x:f>
        <x:v>0.15</x:v>
      </x:c>
      <x:c r="E6" s="78" t="n">
        <x:f>'Assumptions'!E27</x:f>
        <x:v>0.155</x:v>
      </x:c>
      <x:c r="F6" s="78" t="n">
        <x:f>'Assumptions'!F27</x:f>
        <x:v>0.16</x:v>
      </x:c>
      <x:c r="G6" s="78" t="n">
        <x:f>'Assumptions'!G27</x:f>
        <x:v>0.165</x:v>
      </x:c>
      <x:c r="H6" s="78" t="n">
        <x:f>'Assumptions'!H27</x:f>
        <x:v>0.168</x:v>
      </x:c>
      <x:c r="I6" s="78" t="n">
        <x:f>'Assumptions'!I27</x:f>
        <x:v>0.17</x:v>
      </x:c>
      <x:c r="J6" s="78" t="n">
        <x:f>'Assumptions'!J27</x:f>
        <x:v>0.172</x:v>
      </x:c>
      <x:c r="K6" s="78" t="n">
        <x:f>'Assumptions'!K27</x:f>
        <x:v>0.175</x:v>
      </x:c>
      <x:c r="L6" s="77"/>
    </x:row>
    <x:row r="7">
      <x:c r="A7" s="56" t="str">
        <x:v>SBC / revenue</x:v>
      </x:c>
      <x:c r="B7" s="78" t="n">
        <x:f>'Assumptions'!B28</x:f>
        <x:v>0.1101</x:v>
      </x:c>
      <x:c r="C7" s="78" t="n">
        <x:f>'Assumptions'!C28</x:f>
        <x:v>0.1</x:v>
      </x:c>
      <x:c r="D7" s="78" t="n">
        <x:f>'Assumptions'!D28</x:f>
        <x:v>0.08</x:v>
      </x:c>
      <x:c r="E7" s="78" t="n">
        <x:f>'Assumptions'!E28</x:f>
        <x:v>0.07</x:v>
      </x:c>
      <x:c r="F7" s="78" t="n">
        <x:f>'Assumptions'!F28</x:f>
        <x:v>0.065</x:v>
      </x:c>
      <x:c r="G7" s="78" t="n">
        <x:f>'Assumptions'!G28</x:f>
        <x:v>0.06</x:v>
      </x:c>
      <x:c r="H7" s="78" t="n">
        <x:f>'Assumptions'!H28</x:f>
        <x:v>0.058</x:v>
      </x:c>
      <x:c r="I7" s="78" t="n">
        <x:f>'Assumptions'!I28</x:f>
        <x:v>0.057</x:v>
      </x:c>
      <x:c r="J7" s="78" t="n">
        <x:f>'Assumptions'!J28</x:f>
        <x:v>0.056</x:v>
      </x:c>
      <x:c r="K7" s="78" t="n">
        <x:f>'Assumptions'!K28</x:f>
        <x:v>0.055</x:v>
      </x:c>
      <x:c r="L7" s="77"/>
    </x:row>
    <x:row r="8">
      <x:c r="A8" s="56" t="str">
        <x:v>SBC-adjusted FCF</x:v>
      </x:c>
      <x:c r="B8" s="102" t="n">
        <x:f>B5*(B6-B7)</x:f>
        <x:v>54.35820000000002</x:v>
      </x:c>
      <x:c r="C8" s="102" t="n">
        <x:f>C5*(C6-C7)</x:f>
        <x:v>91.62719999999997</x:v>
      </x:c>
      <x:c r="D8" s="102" t="n">
        <x:f>D5*(D6-D7)</x:f>
        <x:v>153.933696</x:v>
      </x:c>
      <x:c r="E8" s="102" t="n">
        <x:f>E5*(E6-E7)</x:f>
        <x:v>201.87304704000005</x:v>
      </x:c>
      <x:c r="F8" s="102" t="n">
        <x:f>F5*(F6-F7)</x:f>
        <x:v>241.41641448960007</x:v>
      </x:c>
      <x:c r="G8" s="102" t="n">
        <x:f>G5*(G6-G7)</x:f>
        <x:v>282.8383887651841</x:v>
      </x:c>
      <x:c r="H8" s="102" t="n">
        <x:f>H5*(H6-H7)</x:f>
        <x:v>311.1222276417026</x:v>
      </x:c>
      <x:c r="I8" s="102" t="n">
        <x:f>I5*(I6-I7)</x:f>
        <x:v>335.587748269891</x:v>
      </x:c>
      <x:c r="J8" s="102" t="n">
        <x:f>J5*(J6-J7)</x:f>
        <x:v>358.27704381663403</x:v>
      </x:c>
      <x:c r="K8" s="102" t="n">
        <x:f>K5*(K6-K7)</x:f>
        <x:v>381.7503673770342</x:v>
      </x:c>
      <x:c r="L8" s="80" t="n">
        <x:f>(SUMPRODUCT(C8:K8,1/(1+'Assumptions'!E16)^{1,2,3,4,5,6,7,8,9})+K8*(1+'Assumptions'!F16)/('Assumptions'!E16-'Assumptions'!F16)/(1+'Assumptions'!E16)^9)/'Assumptions'!B17</x:f>
        <x:v>10.91268505333194</x:v>
      </x:c>
    </x:row>
    <x:row r="9">
      <x:c r="A9" s="56"/>
      <x:c r="B9" s="76"/>
      <x:c r="C9" s="76"/>
      <x:c r="D9" s="76"/>
      <x:c r="E9" s="76"/>
      <x:c r="F9" s="76"/>
      <x:c r="G9" s="76"/>
      <x:c r="H9" s="76"/>
      <x:c r="I9" s="76"/>
      <x:c r="J9" s="76"/>
      <x:c r="K9" s="76"/>
      <x:c r="L9" s="80"/>
    </x:row>
    <x:row r="10">
      <x:c r="A10" s="56"/>
      <x:c r="B10" s="76"/>
      <x:c r="C10" s="76"/>
      <x:c r="D10" s="76"/>
      <x:c r="E10" s="76"/>
      <x:c r="F10" s="76"/>
      <x:c r="G10" s="76"/>
      <x:c r="H10" s="76"/>
      <x:c r="I10" s="76"/>
      <x:c r="J10" s="76"/>
      <x:c r="K10" s="76"/>
      <x:c r="L10" s="80"/>
    </x:row>
    <x:row r="11">
      <x:c r="A11" s="59" t="str">
        <x:v>Base</x:v>
      </x:c>
      <x:c r="B11" s="103" t="str">
        <x:v>2026E</x:v>
      </x:c>
      <x:c r="C11" s="103" t="str">
        <x:v>2027E</x:v>
      </x:c>
      <x:c r="D11" s="103" t="str">
        <x:v>2028E</x:v>
      </x:c>
      <x:c r="E11" s="103" t="str">
        <x:v>2029E</x:v>
      </x:c>
      <x:c r="F11" s="103" t="str">
        <x:v>2030E</x:v>
      </x:c>
      <x:c r="G11" s="103" t="str">
        <x:v>2031E</x:v>
      </x:c>
      <x:c r="H11" s="103" t="str">
        <x:v>2032E</x:v>
      </x:c>
      <x:c r="I11" s="103" t="str">
        <x:v>2033E</x:v>
      </x:c>
      <x:c r="J11" s="103" t="str">
        <x:v>2034E</x:v>
      </x:c>
      <x:c r="K11" s="103" t="str">
        <x:v>2035E</x:v>
      </x:c>
      <x:c r="L11" s="104" t="str">
        <x:v>DCF value/share</x:v>
      </x:c>
    </x:row>
    <x:row r="12">
      <x:c r="A12" s="56" t="str">
        <x:v>Revenue</x:v>
      </x:c>
      <x:c r="B12" s="102" t="n">
        <x:f>'Forecast'!C5</x:f>
        <x:v>1818</x:v>
      </x:c>
      <x:c r="C12" s="102" t="n">
        <x:f>'Forecast'!D5</x:f>
        <x:v>2108.8799999999997</x:v>
      </x:c>
      <x:c r="D12" s="102" t="n">
        <x:f>'Forecast'!E5</x:f>
        <x:v>2340.8568</x:v>
      </x:c>
      <x:c r="E12" s="102" t="n">
        <x:f>'Forecast'!F5</x:f>
        <x:v>2645.1681839999997</x:v>
      </x:c>
      <x:c r="F12" s="102" t="n">
        <x:f>'Forecast'!G5</x:f>
        <x:v>2936.13668424</x:v>
      </x:c>
      <x:c r="G12" s="102" t="n">
        <x:f>'Forecast'!H5</x:f>
        <x:v>3200.3889858216</x:v>
      </x:c>
      <x:c r="H12" s="102" t="n">
        <x:f>'Forecast'!I5</x:f>
        <x:v>3456.420104687328</x:v>
      </x:c>
      <x:c r="I12" s="102" t="n">
        <x:f>'Forecast'!J5</x:f>
        <x:v>3698.369512015441</x:v>
      </x:c>
      <x:c r="J12" s="102" t="n">
        <x:f>'Forecast'!K5</x:f>
        <x:v>3920.271682736368</x:v>
      </x:c>
      <x:c r="K12" s="102" t="n">
        <x:f>'Forecast'!L5</x:f>
        <x:v>4116.285266873187</x:v>
      </x:c>
      <x:c r="L12" s="80"/>
    </x:row>
    <x:row r="13">
      <x:c r="A13" s="56" t="str">
        <x:v>Company FCF margin</x:v>
      </x:c>
      <x:c r="B13" s="78" t="n">
        <x:f>'Forecast'!C24</x:f>
        <x:v>0.14042904290429042</x:v>
      </x:c>
      <x:c r="C13" s="78" t="n">
        <x:f>'Forecast'!D24</x:f>
        <x:v>0.15</x:v>
      </x:c>
      <x:c r="D13" s="78" t="n">
        <x:f>'Forecast'!E24</x:f>
        <x:v>0.161</x:v>
      </x:c>
      <x:c r="E13" s="78" t="n">
        <x:f>'Forecast'!F24</x:f>
        <x:v>0.17</x:v>
      </x:c>
      <x:c r="F13" s="78" t="n">
        <x:f>'Forecast'!G24</x:f>
        <x:v>0.18</x:v>
      </x:c>
      <x:c r="G13" s="78" t="n">
        <x:f>'Forecast'!H24</x:f>
        <x:v>0.19</x:v>
      </x:c>
      <x:c r="H13" s="78" t="n">
        <x:f>'Forecast'!I24</x:f>
        <x:v>0.195</x:v>
      </x:c>
      <x:c r="I13" s="78" t="n">
        <x:f>'Forecast'!J24</x:f>
        <x:v>0.2</x:v>
      </x:c>
      <x:c r="J13" s="78" t="n">
        <x:f>'Forecast'!K24</x:f>
        <x:v>0.205</x:v>
      </x:c>
      <x:c r="K13" s="78" t="n">
        <x:f>'Forecast'!L24</x:f>
        <x:v>0.21</x:v>
      </x:c>
      <x:c r="L13" s="80"/>
    </x:row>
    <x:row r="14">
      <x:c r="A14" s="56" t="str">
        <x:v>SBC / revenue</x:v>
      </x:c>
      <x:c r="B14" s="78" t="n">
        <x:f>'Forecast'!C9</x:f>
        <x:v>0.1101</x:v>
      </x:c>
      <x:c r="C14" s="78" t="n">
        <x:f>'Forecast'!D9</x:f>
        <x:v>0.085</x:v>
      </x:c>
      <x:c r="D14" s="78" t="n">
        <x:f>'Forecast'!E9</x:f>
        <x:v>0.06</x:v>
      </x:c>
      <x:c r="E14" s="78" t="n">
        <x:f>'Forecast'!F9</x:f>
        <x:v>0.055</x:v>
      </x:c>
      <x:c r="F14" s="78" t="n">
        <x:f>'Forecast'!G9</x:f>
        <x:v>0.05</x:v>
      </x:c>
      <x:c r="G14" s="78" t="n">
        <x:f>'Forecast'!H9</x:f>
        <x:v>0.045</x:v>
      </x:c>
      <x:c r="H14" s="78" t="n">
        <x:f>'Forecast'!I9</x:f>
        <x:v>0.042</x:v>
      </x:c>
      <x:c r="I14" s="78" t="n">
        <x:f>'Forecast'!J9</x:f>
        <x:v>0.04</x:v>
      </x:c>
      <x:c r="J14" s="78" t="n">
        <x:f>'Forecast'!K9</x:f>
        <x:v>0.038</x:v>
      </x:c>
      <x:c r="K14" s="78" t="n">
        <x:f>'Forecast'!L9</x:f>
        <x:v>0.035</x:v>
      </x:c>
      <x:c r="L14" s="80"/>
    </x:row>
    <x:row r="15">
      <x:c r="A15" s="56" t="str">
        <x:v>SBC-adjusted FCF</x:v>
      </x:c>
      <x:c r="B15" s="102" t="n">
        <x:f>'Forecast'!C29</x:f>
        <x:v>55.13820000000001</x:v>
      </x:c>
      <x:c r="C15" s="102" t="n">
        <x:f>'Forecast'!D29</x:f>
        <x:v>137.07719999999995</x:v>
      </x:c>
      <x:c r="D15" s="102" t="n">
        <x:f>'Forecast'!E29</x:f>
        <x:v>236.42653680000004</x:v>
      </x:c>
      <x:c r="E15" s="102" t="n">
        <x:f>'Forecast'!F29</x:f>
        <x:v>304.19434116</x:v>
      </x:c>
      <x:c r="F15" s="102" t="n">
        <x:f>'Forecast'!G29</x:f>
        <x:v>381.6977689511999</x:v>
      </x:c>
      <x:c r="G15" s="102" t="n">
        <x:f>'Forecast'!H29</x:f>
        <x:v>464.05640294413195</x:v>
      </x:c>
      <x:c r="H15" s="102" t="n">
        <x:f>'Forecast'!I29</x:f>
        <x:v>528.8322760171611</x:v>
      </x:c>
      <x:c r="I15" s="102" t="n">
        <x:f>'Forecast'!J29</x:f>
        <x:v>591.7391219224706</x:v>
      </x:c>
      <x:c r="J15" s="102" t="n">
        <x:f>'Forecast'!K29</x:f>
        <x:v>654.6853710169734</x:v>
      </x:c>
      <x:c r="K15" s="102" t="n">
        <x:f>'Forecast'!L29</x:f>
        <x:v>720.3499217028076</x:v>
      </x:c>
      <x:c r="L15" s="80" t="n">
        <x:f>'Valuation'!B28</x:f>
        <x:v>24.63855468014281</x:v>
      </x:c>
    </x:row>
    <x:row r="16">
      <x:c r="A16" s="56"/>
      <x:c r="B16" s="76"/>
      <x:c r="C16" s="76"/>
      <x:c r="D16" s="76"/>
      <x:c r="E16" s="76"/>
      <x:c r="F16" s="76"/>
      <x:c r="G16" s="76"/>
      <x:c r="H16" s="76"/>
      <x:c r="I16" s="76"/>
      <x:c r="J16" s="76"/>
      <x:c r="K16" s="76"/>
      <x:c r="L16" s="80"/>
    </x:row>
    <x:row r="17">
      <x:c r="A17" s="56"/>
      <x:c r="B17" s="76"/>
      <x:c r="C17" s="76"/>
      <x:c r="D17" s="76"/>
      <x:c r="E17" s="76"/>
      <x:c r="F17" s="76"/>
      <x:c r="G17" s="76"/>
      <x:c r="H17" s="76"/>
      <x:c r="I17" s="76"/>
      <x:c r="J17" s="76"/>
      <x:c r="K17" s="76"/>
      <x:c r="L17" s="80"/>
    </x:row>
    <x:row r="18">
      <x:c r="A18" s="59" t="str">
        <x:v>Bull</x:v>
      </x:c>
      <x:c r="B18" s="103" t="str">
        <x:v>2026E</x:v>
      </x:c>
      <x:c r="C18" s="103" t="str">
        <x:v>2027E</x:v>
      </x:c>
      <x:c r="D18" s="103" t="str">
        <x:v>2028E</x:v>
      </x:c>
      <x:c r="E18" s="103" t="str">
        <x:v>2029E</x:v>
      </x:c>
      <x:c r="F18" s="103" t="str">
        <x:v>2030E</x:v>
      </x:c>
      <x:c r="G18" s="103" t="str">
        <x:v>2031E</x:v>
      </x:c>
      <x:c r="H18" s="103" t="str">
        <x:v>2032E</x:v>
      </x:c>
      <x:c r="I18" s="103" t="str">
        <x:v>2033E</x:v>
      </x:c>
      <x:c r="J18" s="103" t="str">
        <x:v>2034E</x:v>
      </x:c>
      <x:c r="K18" s="103" t="str">
        <x:v>2035E</x:v>
      </x:c>
      <x:c r="L18" s="104" t="str">
        <x:v>DCF value/share</x:v>
      </x:c>
    </x:row>
    <x:row r="19">
      <x:c r="A19" s="56" t="str">
        <x:v>Revenue</x:v>
      </x:c>
      <x:c r="B19" s="102" t="n">
        <x:f>'Forecast'!C5</x:f>
        <x:v>1818</x:v>
      </x:c>
      <x:c r="C19" s="102" t="n">
        <x:f>B19*(1+'Assumptions'!C32)</x:f>
        <x:v>2181.6</x:v>
      </x:c>
      <x:c r="D19" s="102" t="n">
        <x:f>C19*(1+'Assumptions'!D32)</x:f>
        <x:v>2552.4719999999998</x:v>
      </x:c>
      <x:c r="E19" s="102" t="n">
        <x:f>D19*(1+'Assumptions'!E32)</x:f>
        <x:v>2986.3922399999997</x:v>
      </x:c>
      <x:c r="F19" s="102" t="n">
        <x:f>E19*(1+'Assumptions'!F32)</x:f>
        <x:v>3434.3510759999995</x:v>
      </x:c>
      <x:c r="G19" s="102" t="n">
        <x:f>F19*(1+'Assumptions'!G32)</x:f>
        <x:v>3880.816715879999</x:v>
      </x:c>
      <x:c r="H19" s="102" t="n">
        <x:f>G19*(1+'Assumptions'!H32)</x:f>
        <x:v>4307.706554626799</x:v>
      </x:c>
      <x:c r="I19" s="102" t="n">
        <x:f>H19*(1+'Assumptions'!I32)</x:f>
        <x:v>4695.40014454321</x:v>
      </x:c>
      <x:c r="J19" s="102" t="n">
        <x:f>I19*(1+'Assumptions'!J32)</x:f>
        <x:v>5024.078154661235</x:v>
      </x:c>
      <x:c r="K19" s="102" t="n">
        <x:f>J19*(1+'Assumptions'!K32)</x:f>
        <x:v>5325.522843940909</x:v>
      </x:c>
      <x:c r="L19" s="80"/>
    </x:row>
    <x:row r="20">
      <x:c r="A20" s="56" t="str">
        <x:v>Company FCF margin</x:v>
      </x:c>
      <x:c r="B20" s="78" t="n">
        <x:f>'Assumptions'!B33</x:f>
        <x:v>0.14</x:v>
      </x:c>
      <x:c r="C20" s="78" t="n">
        <x:f>'Assumptions'!C33</x:f>
        <x:v>0.16</x:v>
      </x:c>
      <x:c r="D20" s="78" t="n">
        <x:f>'Assumptions'!D33</x:f>
        <x:v>0.18</x:v>
      </x:c>
      <x:c r="E20" s="78" t="n">
        <x:f>'Assumptions'!E33</x:f>
        <x:v>0.2</x:v>
      </x:c>
      <x:c r="F20" s="78" t="n">
        <x:f>'Assumptions'!F33</x:f>
        <x:v>0.21</x:v>
      </x:c>
      <x:c r="G20" s="78" t="n">
        <x:f>'Assumptions'!G33</x:f>
        <x:v>0.22</x:v>
      </x:c>
      <x:c r="H20" s="78" t="n">
        <x:f>'Assumptions'!H33</x:f>
        <x:v>0.225</x:v>
      </x:c>
      <x:c r="I20" s="78" t="n">
        <x:f>'Assumptions'!I33</x:f>
        <x:v>0.23</x:v>
      </x:c>
      <x:c r="J20" s="78" t="n">
        <x:f>'Assumptions'!J33</x:f>
        <x:v>0.23</x:v>
      </x:c>
      <x:c r="K20" s="78" t="n">
        <x:f>'Assumptions'!K33</x:f>
        <x:v>0.23</x:v>
      </x:c>
      <x:c r="L20" s="80"/>
    </x:row>
    <x:row r="21">
      <x:c r="A21" s="56" t="str">
        <x:v>SBC / revenue</x:v>
      </x:c>
      <x:c r="B21" s="78" t="n">
        <x:f>'Assumptions'!B34</x:f>
        <x:v>0.1101</x:v>
      </x:c>
      <x:c r="C21" s="78" t="n">
        <x:f>'Assumptions'!C34</x:f>
        <x:v>0.075</x:v>
      </x:c>
      <x:c r="D21" s="78" t="n">
        <x:f>'Assumptions'!D34</x:f>
        <x:v>0.055</x:v>
      </x:c>
      <x:c r="E21" s="78" t="n">
        <x:f>'Assumptions'!E34</x:f>
        <x:v>0.045</x:v>
      </x:c>
      <x:c r="F21" s="78" t="n">
        <x:f>'Assumptions'!F34</x:f>
        <x:v>0.04</x:v>
      </x:c>
      <x:c r="G21" s="78" t="n">
        <x:f>'Assumptions'!G34</x:f>
        <x:v>0.035</x:v>
      </x:c>
      <x:c r="H21" s="78" t="n">
        <x:f>'Assumptions'!H34</x:f>
        <x:v>0.032</x:v>
      </x:c>
      <x:c r="I21" s="78" t="n">
        <x:f>'Assumptions'!I34</x:f>
        <x:v>0.03</x:v>
      </x:c>
      <x:c r="J21" s="78" t="n">
        <x:f>'Assumptions'!J34</x:f>
        <x:v>0.028</x:v>
      </x:c>
      <x:c r="K21" s="78" t="n">
        <x:f>'Assumptions'!K34</x:f>
        <x:v>0.025</x:v>
      </x:c>
      <x:c r="L21" s="80"/>
    </x:row>
    <x:row r="22">
      <x:c r="A22" s="56" t="str">
        <x:v>SBC-adjusted FCF</x:v>
      </x:c>
      <x:c r="B22" s="102" t="n">
        <x:f>B19*(B20-B21)</x:f>
        <x:v>54.35820000000002</x:v>
      </x:c>
      <x:c r="C22" s="102" t="n">
        <x:f>C19*(C20-C21)</x:f>
        <x:v>185.436</x:v>
      </x:c>
      <x:c r="D22" s="102" t="n">
        <x:f>D19*(D20-D21)</x:f>
        <x:v>319.05899999999997</x:v>
      </x:c>
      <x:c r="E22" s="102" t="n">
        <x:f>E19*(E20-E21)</x:f>
        <x:v>462.8907972</x:v>
      </x:c>
      <x:c r="F22" s="102" t="n">
        <x:f>F19*(F20-F21)</x:f>
        <x:v>583.8396829199999</x:v>
      </x:c>
      <x:c r="G22" s="102" t="n">
        <x:f>G19*(G20-G21)</x:f>
        <x:v>717.9510924377997</x:v>
      </x:c>
      <x:c r="H22" s="102" t="n">
        <x:f>H19*(H20-H21)</x:f>
        <x:v>831.3873650429722</x:v>
      </x:c>
      <x:c r="I22" s="102" t="n">
        <x:f>I19*(I20-I21)</x:f>
        <x:v>939.0800289086421</x:v>
      </x:c>
      <x:c r="J22" s="102" t="n">
        <x:f>J19*(J20-J21)</x:f>
        <x:v>1014.8637872415695</x:v>
      </x:c>
      <x:c r="K22" s="102" t="n">
        <x:f>K19*(K20-K21)</x:f>
        <x:v>1091.7321830078865</x:v>
      </x:c>
      <x:c r="L22" s="80" t="n">
        <x:f>(SUMPRODUCT(C22:K22,1/(1+'Assumptions'!E18)^{1,2,3,4,5,6,7,8,9})+K22*(1+'Assumptions'!F18)/('Assumptions'!E18-'Assumptions'!F18)/(1+'Assumptions'!E18)^9)/'Assumptions'!B17</x:f>
        <x:v>46.1022702458453</x:v>
      </x:c>
    </x:row>
    <x:row r="23">
      <x:c r="A23" s="56"/>
      <x:c r="B23" s="57"/>
      <x:c r="C23" s="57"/>
      <x:c r="D23" s="57"/>
      <x:c r="E23" s="57"/>
      <x:c r="F23" s="57"/>
      <x:c r="G23" s="57"/>
      <x:c r="H23" s="57"/>
      <x:c r="I23" s="57"/>
      <x:c r="J23" s="57"/>
      <x:c r="K23" s="57"/>
      <x:c r="L23" s="58"/>
    </x:row>
    <x:row r="24">
      <x:c r="A24" s="56"/>
      <x:c r="B24" s="57"/>
      <x:c r="C24" s="57"/>
      <x:c r="D24" s="57"/>
      <x:c r="E24" s="57"/>
      <x:c r="F24" s="57"/>
      <x:c r="G24" s="57"/>
      <x:c r="H24" s="57"/>
      <x:c r="I24" s="57"/>
      <x:c r="J24" s="57"/>
      <x:c r="K24" s="57"/>
      <x:c r="L24" s="58"/>
    </x:row>
    <x:row r="25">
      <x:c r="A25" s="59" t="str">
        <x:v>Scenario summary</x:v>
      </x:c>
      <x:c r="B25" s="60" t="str">
        <x:v>Value</x:v>
      </x:c>
      <x:c r="C25" s="57"/>
      <x:c r="D25" s="71" t="str">
        <x:v>Scenario framing is intentionally wide. Bear assumes post-integration growth normalises near the market and SBC-adjusted economics remain burdened by equity compensation. Base reaches management's 2028 revenue/FCF framework but does not capitalise the full $100m Palantir partnership aspiration before evidence. Bull assumes successful AI-partner distribution, faster gross-profit growth and SBC convergence toward mature software levels.</x:v>
      </x:c>
      <x:c r="E25" s="71" t="str">
        <x:v>Scenario framing is intentionally wide. Bear assumes post-integration growth normalises near the market and SBC-adjusted economics remain burdened by equity compensation. Base reaches management's 2028 revenue/FCF framework but does not capitalise the full $100m Palantir partnership aspiration before evidence. Bull assumes successful AI-partner distribution, faster gross-profit growth and SBC convergence toward mature software levels.</x:v>
      </x:c>
      <x:c r="F25" s="71" t="str">
        <x:v>Scenario framing is intentionally wide. Bear assumes post-integration growth normalises near the market and SBC-adjusted economics remain burdened by equity compensation. Base reaches management's 2028 revenue/FCF framework but does not capitalise the full $100m Palantir partnership aspiration before evidence. Bull assumes successful AI-partner distribution, faster gross-profit growth and SBC convergence toward mature software levels.</x:v>
      </x:c>
      <x:c r="G25" s="71" t="str">
        <x:v>Scenario framing is intentionally wide. Bear assumes post-integration growth normalises near the market and SBC-adjusted economics remain burdened by equity compensation. Base reaches management's 2028 revenue/FCF framework but does not capitalise the full $100m Palantir partnership aspiration before evidence. Bull assumes successful AI-partner distribution, faster gross-profit growth and SBC convergence toward mature software levels.</x:v>
      </x:c>
      <x:c r="H25" s="71" t="str">
        <x:v>Scenario framing is intentionally wide. Bear assumes post-integration growth normalises near the market and SBC-adjusted economics remain burdened by equity compensation. Base reaches management's 2028 revenue/FCF framework but does not capitalise the full $100m Palantir partnership aspiration before evidence. Bull assumes successful AI-partner distribution, faster gross-profit growth and SBC convergence toward mature software levels.</x:v>
      </x:c>
      <x:c r="I25" s="71" t="str">
        <x:v>Scenario framing is intentionally wide. Bear assumes post-integration growth normalises near the market and SBC-adjusted economics remain burdened by equity compensation. Base reaches management's 2028 revenue/FCF framework but does not capitalise the full $100m Palantir partnership aspiration before evidence. Bull assumes successful AI-partner distribution, faster gross-profit growth and SBC convergence toward mature software levels.</x:v>
      </x:c>
      <x:c r="J25" s="71" t="str">
        <x:v>Scenario framing is intentionally wide. Bear assumes post-integration growth normalises near the market and SBC-adjusted economics remain burdened by equity compensation. Base reaches management's 2028 revenue/FCF framework but does not capitalise the full $100m Palantir partnership aspiration before evidence. Bull assumes successful AI-partner distribution, faster gross-profit growth and SBC convergence toward mature software levels.</x:v>
      </x:c>
      <x:c r="K25" s="71" t="str">
        <x:v>Scenario framing is intentionally wide. Bear assumes post-integration growth normalises near the market and SBC-adjusted economics remain burdened by equity compensation. Base reaches management's 2028 revenue/FCF framework but does not capitalise the full $100m Palantir partnership aspiration before evidence. Bull assumes successful AI-partner distribution, faster gross-profit growth and SBC convergence toward mature software levels.</x:v>
      </x:c>
      <x:c r="L25" s="72" t="str">
        <x:v>Scenario framing is intentionally wide. Bear assumes post-integration growth normalises near the market and SBC-adjusted economics remain burdened by equity compensation. Base reaches management's 2028 revenue/FCF framework but does not capitalise the full $100m Palantir partnership aspiration before evidence. Bull assumes successful AI-partner distribution, faster gross-profit growth and SBC convergence toward mature software levels.</x:v>
      </x:c>
    </x:row>
    <x:row r="26">
      <x:c r="A26" s="56" t="str">
        <x:v>Bear value/share</x:v>
      </x:c>
      <x:c r="B26" s="99" t="n">
        <x:f>L8</x:f>
        <x:v>10.91268505333194</x:v>
      </x:c>
      <x:c r="C26" s="57"/>
      <x:c r="D26" s="71" t="str">
        <x:v>Scenario framing is intentionally wide. Bear assumes post-integration growth normalises near the market and SBC-adjusted economics remain burdened by equity compensation. Base reaches management's 2028 revenue/FCF framework but does not capitalise the full $100m Palantir partnership aspiration before evidence. Bull assumes successful AI-partner distribution, faster gross-profit growth and SBC convergence toward mature software levels.</x:v>
      </x:c>
      <x:c r="E26" s="71" t="str">
        <x:v>Scenario framing is intentionally wide. Bear assumes post-integration growth normalises near the market and SBC-adjusted economics remain burdened by equity compensation. Base reaches management's 2028 revenue/FCF framework but does not capitalise the full $100m Palantir partnership aspiration before evidence. Bull assumes successful AI-partner distribution, faster gross-profit growth and SBC convergence toward mature software levels.</x:v>
      </x:c>
      <x:c r="F26" s="71" t="str">
        <x:v>Scenario framing is intentionally wide. Bear assumes post-integration growth normalises near the market and SBC-adjusted economics remain burdened by equity compensation. Base reaches management's 2028 revenue/FCF framework but does not capitalise the full $100m Palantir partnership aspiration before evidence. Bull assumes successful AI-partner distribution, faster gross-profit growth and SBC convergence toward mature software levels.</x:v>
      </x:c>
      <x:c r="G26" s="71" t="str">
        <x:v>Scenario framing is intentionally wide. Bear assumes post-integration growth normalises near the market and SBC-adjusted economics remain burdened by equity compensation. Base reaches management's 2028 revenue/FCF framework but does not capitalise the full $100m Palantir partnership aspiration before evidence. Bull assumes successful AI-partner distribution, faster gross-profit growth and SBC convergence toward mature software levels.</x:v>
      </x:c>
      <x:c r="H26" s="71" t="str">
        <x:v>Scenario framing is intentionally wide. Bear assumes post-integration growth normalises near the market and SBC-adjusted economics remain burdened by equity compensation. Base reaches management's 2028 revenue/FCF framework but does not capitalise the full $100m Palantir partnership aspiration before evidence. Bull assumes successful AI-partner distribution, faster gross-profit growth and SBC convergence toward mature software levels.</x:v>
      </x:c>
      <x:c r="I26" s="71" t="str">
        <x:v>Scenario framing is intentionally wide. Bear assumes post-integration growth normalises near the market and SBC-adjusted economics remain burdened by equity compensation. Base reaches management's 2028 revenue/FCF framework but does not capitalise the full $100m Palantir partnership aspiration before evidence. Bull assumes successful AI-partner distribution, faster gross-profit growth and SBC convergence toward mature software levels.</x:v>
      </x:c>
      <x:c r="J26" s="71" t="str">
        <x:v>Scenario framing is intentionally wide. Bear assumes post-integration growth normalises near the market and SBC-adjusted economics remain burdened by equity compensation. Base reaches management's 2028 revenue/FCF framework but does not capitalise the full $100m Palantir partnership aspiration before evidence. Bull assumes successful AI-partner distribution, faster gross-profit growth and SBC convergence toward mature software levels.</x:v>
      </x:c>
      <x:c r="K26" s="71" t="str">
        <x:v>Scenario framing is intentionally wide. Bear assumes post-integration growth normalises near the market and SBC-adjusted economics remain burdened by equity compensation. Base reaches management's 2028 revenue/FCF framework but does not capitalise the full $100m Palantir partnership aspiration before evidence. Bull assumes successful AI-partner distribution, faster gross-profit growth and SBC convergence toward mature software levels.</x:v>
      </x:c>
      <x:c r="L26" s="72" t="str">
        <x:v>Scenario framing is intentionally wide. Bear assumes post-integration growth normalises near the market and SBC-adjusted economics remain burdened by equity compensation. Base reaches management's 2028 revenue/FCF framework but does not capitalise the full $100m Palantir partnership aspiration before evidence. Bull assumes successful AI-partner distribution, faster gross-profit growth and SBC convergence toward mature software levels.</x:v>
      </x:c>
    </x:row>
    <x:row r="27">
      <x:c r="A27" s="56" t="str">
        <x:v>Base value/share</x:v>
      </x:c>
      <x:c r="B27" s="99" t="n">
        <x:f>L15</x:f>
        <x:v>24.63855468014281</x:v>
      </x:c>
      <x:c r="C27" s="57"/>
      <x:c r="D27" s="71" t="str">
        <x:v>Scenario framing is intentionally wide. Bear assumes post-integration growth normalises near the market and SBC-adjusted economics remain burdened by equity compensation. Base reaches management's 2028 revenue/FCF framework but does not capitalise the full $100m Palantir partnership aspiration before evidence. Bull assumes successful AI-partner distribution, faster gross-profit growth and SBC convergence toward mature software levels.</x:v>
      </x:c>
      <x:c r="E27" s="71" t="str">
        <x:v>Scenario framing is intentionally wide. Bear assumes post-integration growth normalises near the market and SBC-adjusted economics remain burdened by equity compensation. Base reaches management's 2028 revenue/FCF framework but does not capitalise the full $100m Palantir partnership aspiration before evidence. Bull assumes successful AI-partner distribution, faster gross-profit growth and SBC convergence toward mature software levels.</x:v>
      </x:c>
      <x:c r="F27" s="71" t="str">
        <x:v>Scenario framing is intentionally wide. Bear assumes post-integration growth normalises near the market and SBC-adjusted economics remain burdened by equity compensation. Base reaches management's 2028 revenue/FCF framework but does not capitalise the full $100m Palantir partnership aspiration before evidence. Bull assumes successful AI-partner distribution, faster gross-profit growth and SBC convergence toward mature software levels.</x:v>
      </x:c>
      <x:c r="G27" s="71" t="str">
        <x:v>Scenario framing is intentionally wide. Bear assumes post-integration growth normalises near the market and SBC-adjusted economics remain burdened by equity compensation. Base reaches management's 2028 revenue/FCF framework but does not capitalise the full $100m Palantir partnership aspiration before evidence. Bull assumes successful AI-partner distribution, faster gross-profit growth and SBC convergence toward mature software levels.</x:v>
      </x:c>
      <x:c r="H27" s="71" t="str">
        <x:v>Scenario framing is intentionally wide. Bear assumes post-integration growth normalises near the market and SBC-adjusted economics remain burdened by equity compensation. Base reaches management's 2028 revenue/FCF framework but does not capitalise the full $100m Palantir partnership aspiration before evidence. Bull assumes successful AI-partner distribution, faster gross-profit growth and SBC convergence toward mature software levels.</x:v>
      </x:c>
      <x:c r="I27" s="71" t="str">
        <x:v>Scenario framing is intentionally wide. Bear assumes post-integration growth normalises near the market and SBC-adjusted economics remain burdened by equity compensation. Base reaches management's 2028 revenue/FCF framework but does not capitalise the full $100m Palantir partnership aspiration before evidence. Bull assumes successful AI-partner distribution, faster gross-profit growth and SBC convergence toward mature software levels.</x:v>
      </x:c>
      <x:c r="J27" s="71" t="str">
        <x:v>Scenario framing is intentionally wide. Bear assumes post-integration growth normalises near the market and SBC-adjusted economics remain burdened by equity compensation. Base reaches management's 2028 revenue/FCF framework but does not capitalise the full $100m Palantir partnership aspiration before evidence. Bull assumes successful AI-partner distribution, faster gross-profit growth and SBC convergence toward mature software levels.</x:v>
      </x:c>
      <x:c r="K27" s="71" t="str">
        <x:v>Scenario framing is intentionally wide. Bear assumes post-integration growth normalises near the market and SBC-adjusted economics remain burdened by equity compensation. Base reaches management's 2028 revenue/FCF framework but does not capitalise the full $100m Palantir partnership aspiration before evidence. Bull assumes successful AI-partner distribution, faster gross-profit growth and SBC convergence toward mature software levels.</x:v>
      </x:c>
      <x:c r="L27" s="72" t="str">
        <x:v>Scenario framing is intentionally wide. Bear assumes post-integration growth normalises near the market and SBC-adjusted economics remain burdened by equity compensation. Base reaches management's 2028 revenue/FCF framework but does not capitalise the full $100m Palantir partnership aspiration before evidence. Bull assumes successful AI-partner distribution, faster gross-profit growth and SBC convergence toward mature software levels.</x:v>
      </x:c>
    </x:row>
    <x:row r="28">
      <x:c r="A28" s="56" t="str">
        <x:v>Bull value/share</x:v>
      </x:c>
      <x:c r="B28" s="99" t="n">
        <x:f>L22</x:f>
        <x:v>46.1022702458453</x:v>
      </x:c>
      <x:c r="C28" s="57"/>
      <x:c r="D28" s="71" t="str">
        <x:v>Scenario framing is intentionally wide. Bear assumes post-integration growth normalises near the market and SBC-adjusted economics remain burdened by equity compensation. Base reaches management's 2028 revenue/FCF framework but does not capitalise the full $100m Palantir partnership aspiration before evidence. Bull assumes successful AI-partner distribution, faster gross-profit growth and SBC convergence toward mature software levels.</x:v>
      </x:c>
      <x:c r="E28" s="71" t="str">
        <x:v>Scenario framing is intentionally wide. Bear assumes post-integration growth normalises near the market and SBC-adjusted economics remain burdened by equity compensation. Base reaches management's 2028 revenue/FCF framework but does not capitalise the full $100m Palantir partnership aspiration before evidence. Bull assumes successful AI-partner distribution, faster gross-profit growth and SBC convergence toward mature software levels.</x:v>
      </x:c>
      <x:c r="F28" s="71" t="str">
        <x:v>Scenario framing is intentionally wide. Bear assumes post-integration growth normalises near the market and SBC-adjusted economics remain burdened by equity compensation. Base reaches management's 2028 revenue/FCF framework but does not capitalise the full $100m Palantir partnership aspiration before evidence. Bull assumes successful AI-partner distribution, faster gross-profit growth and SBC convergence toward mature software levels.</x:v>
      </x:c>
      <x:c r="G28" s="71" t="str">
        <x:v>Scenario framing is intentionally wide. Bear assumes post-integration growth normalises near the market and SBC-adjusted economics remain burdened by equity compensation. Base reaches management's 2028 revenue/FCF framework but does not capitalise the full $100m Palantir partnership aspiration before evidence. Bull assumes successful AI-partner distribution, faster gross-profit growth and SBC convergence toward mature software levels.</x:v>
      </x:c>
      <x:c r="H28" s="71" t="str">
        <x:v>Scenario framing is intentionally wide. Bear assumes post-integration growth normalises near the market and SBC-adjusted economics remain burdened by equity compensation. Base reaches management's 2028 revenue/FCF framework but does not capitalise the full $100m Palantir partnership aspiration before evidence. Bull assumes successful AI-partner distribution, faster gross-profit growth and SBC convergence toward mature software levels.</x:v>
      </x:c>
      <x:c r="I28" s="71" t="str">
        <x:v>Scenario framing is intentionally wide. Bear assumes post-integration growth normalises near the market and SBC-adjusted economics remain burdened by equity compensation. Base reaches management's 2028 revenue/FCF framework but does not capitalise the full $100m Palantir partnership aspiration before evidence. Bull assumes successful AI-partner distribution, faster gross-profit growth and SBC convergence toward mature software levels.</x:v>
      </x:c>
      <x:c r="J28" s="71" t="str">
        <x:v>Scenario framing is intentionally wide. Bear assumes post-integration growth normalises near the market and SBC-adjusted economics remain burdened by equity compensation. Base reaches management's 2028 revenue/FCF framework but does not capitalise the full $100m Palantir partnership aspiration before evidence. Bull assumes successful AI-partner distribution, faster gross-profit growth and SBC convergence toward mature software levels.</x:v>
      </x:c>
      <x:c r="K28" s="71" t="str">
        <x:v>Scenario framing is intentionally wide. Bear assumes post-integration growth normalises near the market and SBC-adjusted economics remain burdened by equity compensation. Base reaches management's 2028 revenue/FCF framework but does not capitalise the full $100m Palantir partnership aspiration before evidence. Bull assumes successful AI-partner distribution, faster gross-profit growth and SBC convergence toward mature software levels.</x:v>
      </x:c>
      <x:c r="L28" s="72" t="str">
        <x:v>Scenario framing is intentionally wide. Bear assumes post-integration growth normalises near the market and SBC-adjusted economics remain burdened by equity compensation. Base reaches management's 2028 revenue/FCF framework but does not capitalise the full $100m Palantir partnership aspiration before evidence. Bull assumes successful AI-partner distribution, faster gross-profit growth and SBC convergence toward mature software levels.</x:v>
      </x:c>
    </x:row>
    <x:row r="29">
      <x:c r="A29" s="56" t="str">
        <x:v>Probability-weighted value</x:v>
      </x:c>
      <x:c r="B29" s="99" t="n">
        <x:f>SUMPRODUCT(B26:B28,'Assumptions'!G16:G18)</x:f>
        <x:v>26.186123867921133</x:v>
      </x:c>
      <x:c r="C29" s="57"/>
      <x:c r="D29" s="71" t="str">
        <x:v>Scenario framing is intentionally wide. Bear assumes post-integration growth normalises near the market and SBC-adjusted economics remain burdened by equity compensation. Base reaches management's 2028 revenue/FCF framework but does not capitalise the full $100m Palantir partnership aspiration before evidence. Bull assumes successful AI-partner distribution, faster gross-profit growth and SBC convergence toward mature software levels.</x:v>
      </x:c>
      <x:c r="E29" s="71" t="str">
        <x:v>Scenario framing is intentionally wide. Bear assumes post-integration growth normalises near the market and SBC-adjusted economics remain burdened by equity compensation. Base reaches management's 2028 revenue/FCF framework but does not capitalise the full $100m Palantir partnership aspiration before evidence. Bull assumes successful AI-partner distribution, faster gross-profit growth and SBC convergence toward mature software levels.</x:v>
      </x:c>
      <x:c r="F29" s="71" t="str">
        <x:v>Scenario framing is intentionally wide. Bear assumes post-integration growth normalises near the market and SBC-adjusted economics remain burdened by equity compensation. Base reaches management's 2028 revenue/FCF framework but does not capitalise the full $100m Palantir partnership aspiration before evidence. Bull assumes successful AI-partner distribution, faster gross-profit growth and SBC convergence toward mature software levels.</x:v>
      </x:c>
      <x:c r="G29" s="71" t="str">
        <x:v>Scenario framing is intentionally wide. Bear assumes post-integration growth normalises near the market and SBC-adjusted economics remain burdened by equity compensation. Base reaches management's 2028 revenue/FCF framework but does not capitalise the full $100m Palantir partnership aspiration before evidence. Bull assumes successful AI-partner distribution, faster gross-profit growth and SBC convergence toward mature software levels.</x:v>
      </x:c>
      <x:c r="H29" s="71" t="str">
        <x:v>Scenario framing is intentionally wide. Bear assumes post-integration growth normalises near the market and SBC-adjusted economics remain burdened by equity compensation. Base reaches management's 2028 revenue/FCF framework but does not capitalise the full $100m Palantir partnership aspiration before evidence. Bull assumes successful AI-partner distribution, faster gross-profit growth and SBC convergence toward mature software levels.</x:v>
      </x:c>
      <x:c r="I29" s="71" t="str">
        <x:v>Scenario framing is intentionally wide. Bear assumes post-integration growth normalises near the market and SBC-adjusted economics remain burdened by equity compensation. Base reaches management's 2028 revenue/FCF framework but does not capitalise the full $100m Palantir partnership aspiration before evidence. Bull assumes successful AI-partner distribution, faster gross-profit growth and SBC convergence toward mature software levels.</x:v>
      </x:c>
      <x:c r="J29" s="71" t="str">
        <x:v>Scenario framing is intentionally wide. Bear assumes post-integration growth normalises near the market and SBC-adjusted economics remain burdened by equity compensation. Base reaches management's 2028 revenue/FCF framework but does not capitalise the full $100m Palantir partnership aspiration before evidence. Bull assumes successful AI-partner distribution, faster gross-profit growth and SBC convergence toward mature software levels.</x:v>
      </x:c>
      <x:c r="K29" s="71" t="str">
        <x:v>Scenario framing is intentionally wide. Bear assumes post-integration growth normalises near the market and SBC-adjusted economics remain burdened by equity compensation. Base reaches management's 2028 revenue/FCF framework but does not capitalise the full $100m Palantir partnership aspiration before evidence. Bull assumes successful AI-partner distribution, faster gross-profit growth and SBC convergence toward mature software levels.</x:v>
      </x:c>
      <x:c r="L29" s="72" t="str">
        <x:v>Scenario framing is intentionally wide. Bear assumes post-integration growth normalises near the market and SBC-adjusted economics remain burdened by equity compensation. Base reaches management's 2028 revenue/FCF framework but does not capitalise the full $100m Palantir partnership aspiration before evidence. Bull assumes successful AI-partner distribution, faster gross-profit growth and SBC convergence toward mature software levels.</x:v>
      </x:c>
    </x:row>
    <x:row r="30">
      <x:c r="A30" s="56" t="str">
        <x:v>Current price</x:v>
      </x:c>
      <x:c r="B30" s="99" t="n">
        <x:f>'Assumptions'!B16</x:f>
        <x:v>29.07</x:v>
      </x:c>
      <x:c r="C30" s="57"/>
      <x:c r="D30" s="71" t="str">
        <x:v>Scenario framing is intentionally wide. Bear assumes post-integration growth normalises near the market and SBC-adjusted economics remain burdened by equity compensation. Base reaches management's 2028 revenue/FCF framework but does not capitalise the full $100m Palantir partnership aspiration before evidence. Bull assumes successful AI-partner distribution, faster gross-profit growth and SBC convergence toward mature software levels.</x:v>
      </x:c>
      <x:c r="E30" s="71" t="str">
        <x:v>Scenario framing is intentionally wide. Bear assumes post-integration growth normalises near the market and SBC-adjusted economics remain burdened by equity compensation. Base reaches management's 2028 revenue/FCF framework but does not capitalise the full $100m Palantir partnership aspiration before evidence. Bull assumes successful AI-partner distribution, faster gross-profit growth and SBC convergence toward mature software levels.</x:v>
      </x:c>
      <x:c r="F30" s="71" t="str">
        <x:v>Scenario framing is intentionally wide. Bear assumes post-integration growth normalises near the market and SBC-adjusted economics remain burdened by equity compensation. Base reaches management's 2028 revenue/FCF framework but does not capitalise the full $100m Palantir partnership aspiration before evidence. Bull assumes successful AI-partner distribution, faster gross-profit growth and SBC convergence toward mature software levels.</x:v>
      </x:c>
      <x:c r="G30" s="71" t="str">
        <x:v>Scenario framing is intentionally wide. Bear assumes post-integration growth normalises near the market and SBC-adjusted economics remain burdened by equity compensation. Base reaches management's 2028 revenue/FCF framework but does not capitalise the full $100m Palantir partnership aspiration before evidence. Bull assumes successful AI-partner distribution, faster gross-profit growth and SBC convergence toward mature software levels.</x:v>
      </x:c>
      <x:c r="H30" s="71" t="str">
        <x:v>Scenario framing is intentionally wide. Bear assumes post-integration growth normalises near the market and SBC-adjusted economics remain burdened by equity compensation. Base reaches management's 2028 revenue/FCF framework but does not capitalise the full $100m Palantir partnership aspiration before evidence. Bull assumes successful AI-partner distribution, faster gross-profit growth and SBC convergence toward mature software levels.</x:v>
      </x:c>
      <x:c r="I30" s="71" t="str">
        <x:v>Scenario framing is intentionally wide. Bear assumes post-integration growth normalises near the market and SBC-adjusted economics remain burdened by equity compensation. Base reaches management's 2028 revenue/FCF framework but does not capitalise the full $100m Palantir partnership aspiration before evidence. Bull assumes successful AI-partner distribution, faster gross-profit growth and SBC convergence toward mature software levels.</x:v>
      </x:c>
      <x:c r="J30" s="71" t="str">
        <x:v>Scenario framing is intentionally wide. Bear assumes post-integration growth normalises near the market and SBC-adjusted economics remain burdened by equity compensation. Base reaches management's 2028 revenue/FCF framework but does not capitalise the full $100m Palantir partnership aspiration before evidence. Bull assumes successful AI-partner distribution, faster gross-profit growth and SBC convergence toward mature software levels.</x:v>
      </x:c>
      <x:c r="K30" s="71" t="str">
        <x:v>Scenario framing is intentionally wide. Bear assumes post-integration growth normalises near the market and SBC-adjusted economics remain burdened by equity compensation. Base reaches management's 2028 revenue/FCF framework but does not capitalise the full $100m Palantir partnership aspiration before evidence. Bull assumes successful AI-partner distribution, faster gross-profit growth and SBC convergence toward mature software levels.</x:v>
      </x:c>
      <x:c r="L30" s="72" t="str">
        <x:v>Scenario framing is intentionally wide. Bear assumes post-integration growth normalises near the market and SBC-adjusted economics remain burdened by equity compensation. Base reaches management's 2028 revenue/FCF framework but does not capitalise the full $100m Palantir partnership aspiration before evidence. Bull assumes successful AI-partner distribution, faster gross-profit growth and SBC convergence toward mature software levels.</x:v>
      </x:c>
    </x:row>
    <x:row r="31">
      <x:c r="A31" s="100" t="str">
        <x:v>Weighted upside / (downside)</x:v>
      </x:c>
      <x:c r="B31" s="101" t="n">
        <x:f>B29/B30-1</x:f>
        <x:v>-0.09920454530715062</x:v>
      </x:c>
      <x:c r="C31" s="86"/>
      <x:c r="D31" s="74" t="str">
        <x:v>Scenario framing is intentionally wide. Bear assumes post-integration growth normalises near the market and SBC-adjusted economics remain burdened by equity compensation. Base reaches management's 2028 revenue/FCF framework but does not capitalise the full $100m Palantir partnership aspiration before evidence. Bull assumes successful AI-partner distribution, faster gross-profit growth and SBC convergence toward mature software levels.</x:v>
      </x:c>
      <x:c r="E31" s="74" t="str">
        <x:v>Scenario framing is intentionally wide. Bear assumes post-integration growth normalises near the market and SBC-adjusted economics remain burdened by equity compensation. Base reaches management's 2028 revenue/FCF framework but does not capitalise the full $100m Palantir partnership aspiration before evidence. Bull assumes successful AI-partner distribution, faster gross-profit growth and SBC convergence toward mature software levels.</x:v>
      </x:c>
      <x:c r="F31" s="74" t="str">
        <x:v>Scenario framing is intentionally wide. Bear assumes post-integration growth normalises near the market and SBC-adjusted economics remain burdened by equity compensation. Base reaches management's 2028 revenue/FCF framework but does not capitalise the full $100m Palantir partnership aspiration before evidence. Bull assumes successful AI-partner distribution, faster gross-profit growth and SBC convergence toward mature software levels.</x:v>
      </x:c>
      <x:c r="G31" s="74" t="str">
        <x:v>Scenario framing is intentionally wide. Bear assumes post-integration growth normalises near the market and SBC-adjusted economics remain burdened by equity compensation. Base reaches management's 2028 revenue/FCF framework but does not capitalise the full $100m Palantir partnership aspiration before evidence. Bull assumes successful AI-partner distribution, faster gross-profit growth and SBC convergence toward mature software levels.</x:v>
      </x:c>
      <x:c r="H31" s="74" t="str">
        <x:v>Scenario framing is intentionally wide. Bear assumes post-integration growth normalises near the market and SBC-adjusted economics remain burdened by equity compensation. Base reaches management's 2028 revenue/FCF framework but does not capitalise the full $100m Palantir partnership aspiration before evidence. Bull assumes successful AI-partner distribution, faster gross-profit growth and SBC convergence toward mature software levels.</x:v>
      </x:c>
      <x:c r="I31" s="74" t="str">
        <x:v>Scenario framing is intentionally wide. Bear assumes post-integration growth normalises near the market and SBC-adjusted economics remain burdened by equity compensation. Base reaches management's 2028 revenue/FCF framework but does not capitalise the full $100m Palantir partnership aspiration before evidence. Bull assumes successful AI-partner distribution, faster gross-profit growth and SBC convergence toward mature software levels.</x:v>
      </x:c>
      <x:c r="J31" s="74" t="str">
        <x:v>Scenario framing is intentionally wide. Bear assumes post-integration growth normalises near the market and SBC-adjusted economics remain burdened by equity compensation. Base reaches management's 2028 revenue/FCF framework but does not capitalise the full $100m Palantir partnership aspiration before evidence. Bull assumes successful AI-partner distribution, faster gross-profit growth and SBC convergence toward mature software levels.</x:v>
      </x:c>
      <x:c r="K31" s="74" t="str">
        <x:v>Scenario framing is intentionally wide. Bear assumes post-integration growth normalises near the market and SBC-adjusted economics remain burdened by equity compensation. Base reaches management's 2028 revenue/FCF framework but does not capitalise the full $100m Palantir partnership aspiration before evidence. Bull assumes successful AI-partner distribution, faster gross-profit growth and SBC convergence toward mature software levels.</x:v>
      </x:c>
      <x:c r="L31" s="75" t="str">
        <x:v>Scenario framing is intentionally wide. Bear assumes post-integration growth normalises near the market and SBC-adjusted economics remain burdened by equity compensation. Base reaches management's 2028 revenue/FCF framework but does not capitalise the full $100m Palantir partnership aspiration before evidence. Bull assumes successful AI-partner distribution, faster gross-profit growth and SBC convergence toward mature software levels.</x:v>
      </x:c>
    </x:row>
  </x:sheetData>
  <x:mergeCells>
    <x:mergeCell ref="A1:L2"/>
    <x:mergeCell ref="D25:L31"/>
  </x:mergeCells>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5" hidden="0" customWidth="1"/>
    <x:col min="2" max="2" width="18" hidden="0" customWidth="1"/>
    <x:col min="3" max="3" width="14" hidden="0" customWidth="1"/>
  </x:cols>
  <x:sheetData>
    <x:row r="1" ht="28" customHeight="1">
      <x:c r="A1" s="50" t="str">
        <x:v>Model Checks</x:v>
      </x:c>
      <x:c r="B1" s="51" t="str">
        <x:v>Model Checks</x:v>
      </x:c>
      <x:c r="C1" s="51" t="str">
        <x:v>Model Checks</x:v>
      </x:c>
      <x:c r="D1" s="51" t="str">
        <x:v>Model Checks</x:v>
      </x:c>
      <x:c r="E1" s="51" t="str">
        <x:v>Model Checks</x:v>
      </x:c>
      <x:c r="F1" s="52" t="str">
        <x:v>Model Checks</x:v>
      </x:c>
    </x:row>
    <x:row r="2" ht="28" customHeight="1">
      <x:c r="A2" s="53" t="str">
        <x:v>Model Checks</x:v>
      </x:c>
      <x:c r="B2" s="54" t="str">
        <x:v>Model Checks</x:v>
      </x:c>
      <x:c r="C2" s="54" t="str">
        <x:v>Model Checks</x:v>
      </x:c>
      <x:c r="D2" s="54" t="str">
        <x:v>Model Checks</x:v>
      </x:c>
      <x:c r="E2" s="54" t="str">
        <x:v>Model Checks</x:v>
      </x:c>
      <x:c r="F2" s="55" t="str">
        <x:v>Model Checks</x:v>
      </x:c>
    </x:row>
    <x:row r="3">
      <x:c r="A3" s="56"/>
      <x:c r="B3" s="57"/>
      <x:c r="C3" s="57"/>
      <x:c r="D3" s="57"/>
      <x:c r="E3" s="57"/>
      <x:c r="F3" s="58"/>
    </x:row>
    <x:row r="4">
      <x:c r="A4" s="59" t="str">
        <x:v>Check</x:v>
      </x:c>
      <x:c r="B4" s="60" t="str">
        <x:v>Value</x:v>
      </x:c>
      <x:c r="C4" s="60" t="str">
        <x:v>Status</x:v>
      </x:c>
      <x:c r="D4" s="57"/>
      <x:c r="E4" s="57"/>
      <x:c r="F4" s="58"/>
    </x:row>
    <x:row r="5">
      <x:c r="A5" s="56" t="str">
        <x:v>Historical 2025 FCF reconciliation</x:v>
      </x:c>
      <x:c r="B5" s="76" t="n">
        <x:f>'Historical'!H22-'Historical'!H23-'Historical'!H24+'Historical'!H25-'Historical'!H26</x:f>
        <x:v>0</x:v>
      </x:c>
      <x:c r="C5" s="76" t="str">
        <x:f>IF(ABS(B5)&lt;0.1,"PASS","FAIL")</x:f>
        <x:v>PASS</x:v>
      </x:c>
      <x:c r="D5" s="57"/>
      <x:c r="E5" s="57"/>
      <x:c r="F5" s="58"/>
    </x:row>
    <x:row r="6">
      <x:c r="A6" s="56" t="str">
        <x:v>Historical 2025 standard FCFE reconciliation</x:v>
      </x:c>
      <x:c r="B6" s="76" t="n">
        <x:f>'Historical'!H22-'Historical'!H23-'Historical'!H24+'Historical'!H28-'Historical'!H29</x:f>
        <x:v>0</x:v>
      </x:c>
      <x:c r="C6" s="76" t="str">
        <x:f>IF(ABS(B6)&lt;0.1,"PASS","FAIL")</x:f>
        <x:v>PASS</x:v>
      </x:c>
      <x:c r="D6" s="57"/>
      <x:c r="E6" s="57"/>
      <x:c r="F6" s="58"/>
    </x:row>
    <x:row r="7">
      <x:c r="A7" s="56" t="str">
        <x:v>Q2 gross-profit upper bound &lt;= reported GP</x:v>
      </x:c>
      <x:c r="B7" s="76" t="n">
        <x:f>'KPI Revenue'!C29-'KPI Revenue'!C24</x:f>
        <x:v>-33.712699999999984</x:v>
      </x:c>
      <x:c r="C7" s="76" t="str">
        <x:f>IF(B7&lt;=0,"PASS","FAIL")</x:f>
        <x:v>PASS</x:v>
      </x:c>
      <x:c r="D7" s="57"/>
      <x:c r="E7" s="57"/>
      <x:c r="F7" s="58"/>
    </x:row>
    <x:row r="8">
      <x:c r="A8" s="56" t="str">
        <x:v>Scenario weights sum to 100%</x:v>
      </x:c>
      <x:c r="B8" s="76" t="n">
        <x:f>SUM('Assumptions'!G16:G18)-1</x:f>
        <x:v>0</x:v>
      </x:c>
      <x:c r="C8" s="76" t="str">
        <x:f>IF(ABS(B8)&lt;0.001,"PASS","FAIL")</x:f>
        <x:v>PASS</x:v>
      </x:c>
      <x:c r="D8" s="57"/>
      <x:c r="E8" s="57"/>
      <x:c r="F8" s="58"/>
    </x:row>
    <x:row r="9">
      <x:c r="A9" s="56" t="str">
        <x:v>Terminal growth &lt; cost of equity</x:v>
      </x:c>
      <x:c r="B9" s="76" t="n">
        <x:f>'Assumptions'!B22-'Assumptions'!B21</x:f>
        <x:v>-0.076</x:v>
      </x:c>
      <x:c r="C9" s="76" t="str">
        <x:f>IF(B9&lt;0,"PASS","FAIL")</x:f>
        <x:v>PASS</x:v>
      </x:c>
      <x:c r="D9" s="57"/>
      <x:c r="E9" s="57"/>
      <x:c r="F9" s="58"/>
    </x:row>
    <x:row r="10">
      <x:c r="A10" s="56" t="str">
        <x:v>Base 2028 revenue near $2.3bn target</x:v>
      </x:c>
      <x:c r="B10" s="76" t="n">
        <x:f>'Forecast'!E5-2300</x:f>
        <x:v>40.85680000000002</x:v>
      </x:c>
      <x:c r="C10" s="76" t="str">
        <x:f>IF(ABS(B10)&lt;100,"PASS","REVIEW")</x:f>
        <x:v>PASS</x:v>
      </x:c>
      <x:c r="D10" s="57"/>
      <x:c r="E10" s="57"/>
      <x:c r="F10" s="58"/>
    </x:row>
    <x:row r="11">
      <x:c r="A11" s="56" t="str">
        <x:v>Base 2028 company FCF &gt;= $371m target</x:v>
      </x:c>
      <x:c r="B11" s="76" t="n">
        <x:f>'Forecast'!E25-371</x:f>
        <x:v>5.877944800000023</x:v>
      </x:c>
      <x:c r="C11" s="76" t="str">
        <x:f>IF(B11&gt;=0,"PASS","REVIEW")</x:f>
        <x:v>PASS</x:v>
      </x:c>
      <x:c r="D11" s="57"/>
      <x:c r="E11" s="57"/>
      <x:c r="F11" s="58"/>
    </x:row>
    <x:row r="12">
      <x:c r="A12" s="56" t="str">
        <x:v>SBC-adjusted FCF &lt;= company FCF</x:v>
      </x:c>
      <x:c r="B12" s="76" t="n">
        <x:f>MAX('Forecast'!B29:L29-'Forecast'!B25:L25)</x:f>
        <x:v>-140.451408</x:v>
      </x:c>
      <x:c r="C12" s="76" t="str">
        <x:f>IF(B12&lt;=0,"PASS","FAIL")</x:f>
        <x:v>PASS</x:v>
      </x:c>
      <x:c r="D12" s="57"/>
      <x:c r="E12" s="57"/>
      <x:c r="F12" s="58"/>
    </x:row>
    <x:row r="13">
      <x:c r="A13" s="56" t="str">
        <x:v>Current EV bridge positive</x:v>
      </x:c>
      <x:c r="B13" s="76" t="n">
        <x:f>'Valuation'!B11</x:f>
        <x:v>7235.399497349999</x:v>
      </x:c>
      <x:c r="C13" s="76" t="str">
        <x:f>IF(B13&gt;0,"PASS","FAIL")</x:f>
        <x:v>PASS</x:v>
      </x:c>
      <x:c r="D13" s="57"/>
      <x:c r="E13" s="57"/>
      <x:c r="F13" s="58"/>
    </x:row>
    <x:row r="14">
      <x:c r="A14" s="56" t="str">
        <x:v>No negative projected diluted shares</x:v>
      </x:c>
      <x:c r="B14" s="76" t="n">
        <x:f>MIN('Forecast'!B22:L22)</x:f>
        <x:v>220.722814</x:v>
      </x:c>
      <x:c r="C14" s="76" t="str">
        <x:f>IF(B14&gt;0,"PASS","FAIL")</x:f>
        <x:v>PASS</x:v>
      </x:c>
      <x:c r="D14" s="57"/>
      <x:c r="E14" s="57"/>
      <x:c r="F14" s="58"/>
    </x:row>
    <x:row r="15">
      <x:c r="A15" s="100" t="str">
        <x:v>Dilution-only per-share value positive</x:v>
      </x:c>
      <x:c r="B15" s="105" t="n">
        <x:f>'Valuation'!B64</x:f>
        <x:v>26.193100172881675</x:v>
      </x:c>
      <x:c r="C15" s="105" t="str">
        <x:f>IF(B15&gt;0,"PASS","FAIL")</x:f>
        <x:v>PASS</x:v>
      </x:c>
      <x:c r="D15" s="86"/>
      <x:c r="E15" s="86"/>
      <x:c r="F15" s="87"/>
    </x:row>
  </x:sheetData>
  <x:mergeCells>
    <x:mergeCell ref="A1:F2"/>
  </x:mergeCells>
  <x:conditionalFormatting sqref="C5:C15">
    <x:cfRule type="containsText" dxfId="1" priority="1" operator="containsText" text="FAIL"/>
    <x:cfRule type="containsText" dxfId="2" priority="2" operator="containsText" text="PASS"/>
    <x:cfRule type="containsText" dxfId="3" priority="3" operator="containsText" text="REVIEW"/>
  </x:conditionalFormatting>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8" hidden="0" customWidth="1"/>
    <x:col min="2" max="2" width="28" hidden="0" customWidth="1"/>
    <x:col min="3" max="3" width="16" hidden="0" customWidth="1"/>
    <x:col min="4" max="4" width="16" hidden="0" customWidth="1"/>
    <x:col min="5" max="5" width="34" hidden="0" customWidth="1"/>
    <x:col min="6" max="6" width="70" hidden="0" customWidth="1"/>
    <x:col min="7" max="7" width="38" hidden="0" customWidth="1"/>
    <x:col min="8" max="8" width="20" hidden="0" customWidth="1"/>
  </x:cols>
  <x:sheetData>
    <x:row r="1" ht="28" customHeight="1">
      <x:c r="A1" s="2" t="str">
        <x:v>Sources and Data Lineage</x:v>
      </x:c>
      <x:c r="B1" s="2" t="str">
        <x:v>Sources and Data Lineage</x:v>
      </x:c>
      <x:c r="C1" s="2" t="str">
        <x:v>Sources and Data Lineage</x:v>
      </x:c>
      <x:c r="D1" s="2" t="str">
        <x:v>Sources and Data Lineage</x:v>
      </x:c>
      <x:c r="E1" s="2" t="str">
        <x:v>Sources and Data Lineage</x:v>
      </x:c>
      <x:c r="F1" s="2" t="str">
        <x:v>Sources and Data Lineage</x:v>
      </x:c>
      <x:c r="G1" s="2" t="str">
        <x:v>Sources and Data Lineage</x:v>
      </x:c>
      <x:c r="H1" s="2" t="str">
        <x:v>Sources and Data Lineage</x:v>
      </x:c>
    </x:row>
    <x:row r="2" ht="28" customHeight="1">
      <x:c r="A2" s="2" t="str">
        <x:v>Sources and Data Lineage</x:v>
      </x:c>
      <x:c r="B2" s="2" t="str">
        <x:v>Sources and Data Lineage</x:v>
      </x:c>
      <x:c r="C2" s="2" t="str">
        <x:v>Sources and Data Lineage</x:v>
      </x:c>
      <x:c r="D2" s="2" t="str">
        <x:v>Sources and Data Lineage</x:v>
      </x:c>
      <x:c r="E2" s="2" t="str">
        <x:v>Sources and Data Lineage</x:v>
      </x:c>
      <x:c r="F2" s="2" t="str">
        <x:v>Sources and Data Lineage</x:v>
      </x:c>
      <x:c r="G2" s="2" t="str">
        <x:v>Sources and Data Lineage</x:v>
      </x:c>
      <x:c r="H2" s="2" t="str">
        <x:v>Sources and Data Lineage</x:v>
      </x:c>
    </x:row>
    <x:row r="4">
      <x:c r="A4" s="5" t="str">
        <x:v>ID</x:v>
      </x:c>
      <x:c r="B4" s="5" t="str">
        <x:v>Topic</x:v>
      </x:c>
      <x:c r="C4" s="5" t="str">
        <x:v>Period / date</x:v>
      </x:c>
      <x:c r="D4" s="5" t="str">
        <x:v>Published / filed</x:v>
      </x:c>
      <x:c r="E4" s="5" t="str">
        <x:v>Source</x:v>
      </x:c>
      <x:c r="F4" s="5" t="str">
        <x:v>URL</x:v>
      </x:c>
      <x:c r="G4" s="5" t="str">
        <x:v>Model use</x:v>
      </x:c>
      <x:c r="H4" s="5" t="str">
        <x:v>Classification</x:v>
      </x:c>
    </x:row>
    <x:row r="5">
      <x:c r="A5" s="48" t="str">
        <x:v>S1</x:v>
      </x:c>
      <x:c r="B5" s="48" t="str">
        <x:v>2025 audited history</x:v>
      </x:c>
      <x:c r="C5" s="49" t="str">
        <x:v>FY2025</x:v>
      </x:c>
      <x:c r="D5" s="49" t="str">
        <x:v>2026-02-25</x:v>
      </x:c>
      <x:c r="E5" s="48" t="str">
        <x:v>Zeta 2025 Form 10-K</x:v>
      </x:c>
      <x:c r="F5" s="48" t="str">
        <x:v>https://www.sec.gov/Archives/edgar/data/1851003/000119312526068598/zeta-20251231.htm</x:v>
      </x:c>
      <x:c r="G5" s="48" t="str">
        <x:v>Historical, acquisitions, accounting</x:v>
      </x:c>
      <x:c r="H5" s="48" t="str">
        <x:v>Fact</x:v>
      </x:c>
    </x:row>
    <x:row r="6">
      <x:c r="A6" s="48" t="str">
        <x:v>S2</x:v>
      </x:c>
      <x:c r="B6" s="48" t="str">
        <x:v>Latest quarter</x:v>
      </x:c>
      <x:c r="C6" s="49" t="str">
        <x:v>Q2/H1 2026</x:v>
      </x:c>
      <x:c r="D6" s="49" t="str">
        <x:v>2026-08-05</x:v>
      </x:c>
      <x:c r="E6" s="48" t="str">
        <x:v>Zeta Q2 2026 Form 10-Q</x:v>
      </x:c>
      <x:c r="F6" s="48" t="str">
        <x:v>https://www.sec.gov/Archives/edgar/data/1851003/000119312526333902/zeta-20260630.htm</x:v>
      </x:c>
      <x:c r="G6" s="48" t="str">
        <x:v>Balance sheet, SBC, dilution, legal</x:v>
      </x:c>
      <x:c r="H6" s="48" t="str">
        <x:v>Fact</x:v>
      </x:c>
    </x:row>
    <x:row r="7">
      <x:c r="A7" s="48" t="str">
        <x:v>S3</x:v>
      </x:c>
      <x:c r="B7" s="48" t="str">
        <x:v>Guidance and KPIs</x:v>
      </x:c>
      <x:c r="C7" s="49" t="str">
        <x:v>Q2/FY2026</x:v>
      </x:c>
      <x:c r="D7" s="49" t="str">
        <x:v>2026-08-04</x:v>
      </x:c>
      <x:c r="E7" s="48" t="str">
        <x:v>Q2 2026 earnings supplemental</x:v>
      </x:c>
      <x:c r="F7" s="48" t="str">
        <x:v>https://s202.q4cdn.com/623583957/files/doc_financials/2026/q2/v2/2Q-26-Earnings-Supplemental_Final-1.pdf</x:v>
      </x:c>
      <x:c r="G7" s="48" t="str">
        <x:v>2026 guidance, 2028 targets, revenue bridge</x:v>
      </x:c>
      <x:c r="H7" s="48" t="str">
        <x:v>Company guidance</x:v>
      </x:c>
    </x:row>
    <x:row r="8">
      <x:c r="A8" s="48" t="str">
        <x:v>S4</x:v>
      </x:c>
      <x:c r="B8" s="48" t="str">
        <x:v>Marigold economics</x:v>
      </x:c>
      <x:c r="C8" s="49" t="str">
        <x:v>Investor Day</x:v>
      </x:c>
      <x:c r="D8" s="49" t="str">
        <x:v>2025-10-08</x:v>
      </x:c>
      <x:c r="E8" s="48" t="str">
        <x:v>Zeta 2025 Investor Day</x:v>
      </x:c>
      <x:c r="F8" s="48" t="str">
        <x:v>https://s202.q4cdn.com/623583957/files/doc_presentations/2025/Oct/08/Investor-Day_October-2025_Final.pdf</x:v>
      </x:c>
      <x:c r="G8" s="48" t="str">
        <x:v>Marigold cost-of-revenue bound</x:v>
      </x:c>
      <x:c r="H8" s="48" t="str">
        <x:v>Company claim</x:v>
      </x:c>
    </x:row>
    <x:row r="9">
      <x:c r="A9" s="48" t="str">
        <x:v>S5</x:v>
      </x:c>
      <x:c r="B9" s="48" t="str">
        <x:v>Share price</x:v>
      </x:c>
      <x:c r="C9" s="49" t="str">
        <x:v>2026-08-21 close</x:v>
      </x:c>
      <x:c r="D9" s="49" t="str">
        <x:v>2026-08-21</x:v>
      </x:c>
      <x:c r="E9" s="48" t="str">
        <x:v>StockAnalysis / S&amp;P Global MI</x:v>
      </x:c>
      <x:c r="F9" s="48" t="str">
        <x:v>https://stockanalysis.com/stocks/zeta/history/</x:v>
      </x:c>
      <x:c r="G9" s="48" t="str">
        <x:v>Valuation date price</x:v>
      </x:c>
      <x:c r="H9" s="48" t="str">
        <x:v>Market data</x:v>
      </x:c>
    </x:row>
    <x:row r="10">
      <x:c r="A10" s="48" t="str">
        <x:v>S6</x:v>
      </x:c>
      <x:c r="B10" s="48" t="str">
        <x:v>Risk-free rate</x:v>
      </x:c>
      <x:c r="C10" s="49" t="str">
        <x:v>2026-08-21</x:v>
      </x:c>
      <x:c r="D10" s="49" t="str">
        <x:v>2026-08-21</x:v>
      </x:c>
      <x:c r="E10" s="48" t="str">
        <x:v>U.S. Treasury</x:v>
      </x:c>
      <x:c r="F10" s="48" t="str">
        <x:v>https://home.treasury.gov/resource-center/data-chart-center/interest-rates/TextView?field_tdr_date_value=2026&amp;type=daily_treasury_yield_curve</x:v>
      </x:c>
      <x:c r="G10" s="48" t="str">
        <x:v>10Y Treasury 4.74%</x:v>
      </x:c>
      <x:c r="H10" s="48" t="str">
        <x:v>Market data</x:v>
      </x:c>
    </x:row>
    <x:row r="11">
      <x:c r="A11" s="48" t="str">
        <x:v>S7</x:v>
      </x:c>
      <x:c r="B11" s="48" t="str">
        <x:v>Equity risk premium</x:v>
      </x:c>
      <x:c r="C11" s="49" t="str">
        <x:v>2026-07-01</x:v>
      </x:c>
      <x:c r="D11" s="49" t="str">
        <x:v>2026-07-01</x:v>
      </x:c>
      <x:c r="E11" s="48" t="str">
        <x:v>Aswath Damodaran</x:v>
      </x:c>
      <x:c r="F11" s="48" t="str">
        <x:v>https://pages.stern.nyu.edu/~adamodar/New_Home_Page/home.htm</x:v>
      </x:c>
      <x:c r="G11" s="48" t="str">
        <x:v>U.S. implied ERP 4.18%</x:v>
      </x:c>
      <x:c r="H11" s="48" t="str">
        <x:v>Valuation input</x:v>
      </x:c>
    </x:row>
    <x:row r="12">
      <x:c r="A12" s="48" t="str">
        <x:v>S8</x:v>
      </x:c>
      <x:c r="B12" s="48" t="str">
        <x:v>IFRS SBC principle</x:v>
      </x:c>
      <x:c r="C12" s="49" t="str">
        <x:v>Current</x:v>
      </x:c>
      <x:c r="D12" s="49" t="str">
        <x:v>Current</x:v>
      </x:c>
      <x:c r="E12" s="48" t="str">
        <x:v>IFRS Foundation — IFRS 2</x:v>
      </x:c>
      <x:c r="F12" s="48" t="str">
        <x:v>https://www.ifrs.org/issued-standards/list-of-standards/ifrs-2-share-based-payment/</x:v>
      </x:c>
      <x:c r="G12" s="48" t="str">
        <x:v>SBC treated as real cost</x:v>
      </x:c>
      <x:c r="H12" s="48" t="str">
        <x:v>Accounting standard</x:v>
      </x:c>
    </x:row>
    <x:row r="13">
      <x:c r="A13" s="48" t="str">
        <x:v>S9</x:v>
      </x:c>
      <x:c r="B13" s="48" t="str">
        <x:v>IFRS development costs</x:v>
      </x:c>
      <x:c r="C13" s="49" t="str">
        <x:v>Current</x:v>
      </x:c>
      <x:c r="D13" s="49" t="str">
        <x:v>2021 edition</x:v>
      </x:c>
      <x:c r="E13" s="48" t="str">
        <x:v>IFRS Foundation — IAS 38</x:v>
      </x:c>
      <x:c r="F13" s="48" t="str">
        <x:v>https://www.ifrs.org/content/dam/ifrs/publications/pdf-standards/english/2021/issued/part-a/ias-38-intangible-assets.pdf</x:v>
      </x:c>
      <x:c r="G13" s="48" t="str">
        <x:v>Software investment normalisation</x:v>
      </x:c>
      <x:c r="H13" s="48" t="str">
        <x:v>Accounting standard</x:v>
      </x:c>
    </x:row>
    <x:row r="14">
      <x:c r="A14" s="48" t="str">
        <x:v>S10</x:v>
      </x:c>
      <x:c r="B14" s="48" t="str">
        <x:v>Industry advertising revenue</x:v>
      </x:c>
      <x:c r="C14" s="49" t="str">
        <x:v>FY2025</x:v>
      </x:c>
      <x:c r="D14" s="49" t="str">
        <x:v>2026-04</x:v>
      </x:c>
      <x:c r="E14" s="48" t="str">
        <x:v>IAB / PwC Internet Ad Revenue Report</x:v>
      </x:c>
      <x:c r="F14" s="48" t="str">
        <x:v>https://www.iab.com/wp-content/uploads/2026/04/IAB_PwC_Internet_Ad_Revenue_Report_Full_Year_2025_April_2026.pdf</x:v>
      </x:c>
      <x:c r="G14" s="48" t="str">
        <x:v>Industry growth and concentration</x:v>
      </x:c>
      <x:c r="H14" s="48" t="str">
        <x:v>Industry data</x:v>
      </x:c>
    </x:row>
    <x:row r="15">
      <x:c r="A15" s="48" t="str">
        <x:v>S11</x:v>
      </x:c>
      <x:c r="B15" s="48" t="str">
        <x:v>2023 audited history</x:v>
      </x:c>
      <x:c r="C15" s="49" t="str">
        <x:v>FY2023</x:v>
      </x:c>
      <x:c r="D15" s="49" t="str">
        <x:v>2024-02-28</x:v>
      </x:c>
      <x:c r="E15" s="48" t="str">
        <x:v>Zeta 2023 Form 10-K</x:v>
      </x:c>
      <x:c r="F15" s="48" t="str">
        <x:v>https://www.sec.gov/Archives/edgar/data/1851003/000095017024021671/zeta-20231231.htm</x:v>
      </x:c>
      <x:c r="G15" s="48" t="str">
        <x:v>KPI definitions, NRR, RPO, SBC backlog</x:v>
      </x:c>
      <x:c r="H15" s="48" t="str">
        <x:v>Fact</x:v>
      </x:c>
    </x:row>
    <x:row r="16">
      <x:c r="A16" s="48" t="str">
        <x:v>S12</x:v>
      </x:c>
      <x:c r="B16" s="48" t="str">
        <x:v>2024 quarterly evolution</x:v>
      </x:c>
      <x:c r="C16" s="49" t="str">
        <x:v>Q1-Q3 2024</x:v>
      </x:c>
      <x:c r="D16" s="49" t="str">
        <x:v>2024-05-07 to 2024-11-12</x:v>
      </x:c>
      <x:c r="E16" s="48" t="str">
        <x:v>Zeta 2024 Forms 10-Q</x:v>
      </x:c>
      <x:c r="F16" s="48" t="str">
        <x:v>https://www.sec.gov/edgar/browse/?CIK=1851003&amp;owner=exclude</x:v>
      </x:c>
      <x:c r="G16" s="48" t="str">
        <x:v>Customer KPIs, channel mix, SBC cadence</x:v>
      </x:c>
      <x:c r="H16" s="48" t="str">
        <x:v>Fact</x:v>
      </x:c>
    </x:row>
    <x:row r="17">
      <x:c r="A17" s="48" t="str">
        <x:v>S13</x:v>
      </x:c>
      <x:c r="B17" s="48" t="str">
        <x:v>2025 quarterly evolution</x:v>
      </x:c>
      <x:c r="C17" s="49" t="str">
        <x:v>Q1-Q3 2025</x:v>
      </x:c>
      <x:c r="D17" s="49" t="str">
        <x:v>2025-05-02 to 2025-11-05</x:v>
      </x:c>
      <x:c r="E17" s="48" t="str">
        <x:v>Zeta 2025 Forms 10-Q</x:v>
      </x:c>
      <x:c r="F17" s="48" t="str">
        <x:v>https://www.sec.gov/edgar/browse/?CIK=1851003&amp;owner=exclude</x:v>
      </x:c>
      <x:c r="G17" s="48" t="str">
        <x:v>Customer KPIs, channel mix, RPO, SBC cadence</x:v>
      </x:c>
      <x:c r="H17" s="48" t="str">
        <x:v>Fact</x:v>
      </x:c>
    </x:row>
    <x:row r="18">
      <x:c r="A18" s="48" t="str">
        <x:v>S14</x:v>
      </x:c>
      <x:c r="B18" s="48" t="str">
        <x:v>Q1 2026 filing</x:v>
      </x:c>
      <x:c r="C18" s="49" t="str">
        <x:v>Q1 2026</x:v>
      </x:c>
      <x:c r="D18" s="49" t="str">
        <x:v>2026-05-01</x:v>
      </x:c>
      <x:c r="E18" s="48" t="str">
        <x:v>Zeta Q1 2026 Form 10-Q</x:v>
      </x:c>
      <x:c r="F18" s="48" t="str">
        <x:v>https://www.sec.gov/Archives/edgar/data/1851003/000119312526199156/zeta-20260331.htm</x:v>
      </x:c>
      <x:c r="G18" s="48" t="str">
        <x:v>KPI emphasis shift, Marigold, SBC grant step-up</x:v>
      </x:c>
      <x:c r="H18" s="48" t="str">
        <x:v>Fact</x:v>
      </x:c>
    </x:row>
  </x:sheetData>
  <x:mergeCells>
    <x:mergeCell ref="A1:H2"/>
  </x:mergeCells>
  <x:pageMargins left="0.7" right="0.7" top="0.75" bottom="0.75" header="0.3" footer="0.3"/>
</x:worksheet>
</file>