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3f3d764be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90a717ffff4be3"/>
    <x:sheet xmlns:r="http://schemas.openxmlformats.org/officeDocument/2006/relationships" name="Forecast" sheetId="2" r:id="R08c0334c935c45bd"/>
    <x:sheet xmlns:r="http://schemas.openxmlformats.org/officeDocument/2006/relationships" name="Operating Drivers" sheetId="3" r:id="R425ceba8d64a4c76"/>
    <x:sheet xmlns:r="http://schemas.openxmlformats.org/officeDocument/2006/relationships" name="Valuation Model" sheetId="4" r:id="R6cec367d2e1a4643"/>
    <x:sheet xmlns:r="http://schemas.openxmlformats.org/officeDocument/2006/relationships" name="Sources &amp; Assumptions" sheetId="5" r:id="R3c5c3523589d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$#,##0.0;($#,##0.0);-"/>
    <x:numFmt numFmtId="201" formatCode="0.0%;(0.0%);-"/>
    <x:numFmt numFmtId="202" formatCode="0.000"/>
    <x:numFmt numFmtId="203" formatCode="$#,##0.00;($#,##0.00);-"/>
    <x:numFmt numFmtId="204" formatCode="0.00x"/>
    <x:numFmt numFmtId="205" formatCode="0"/>
    <x:numFmt numFmtId="206" formatCode="0.0"/>
    <x:numFmt numFmtId="207" formatCode="dd mmm yyyy"/>
    <x:numFmt numFmtId="208" formatCode="0.00%;(0.00%);-"/>
    <x:numFmt numFmtId="209" formatCode="+0.0%;-0.0%;&quot;Base&quot;"/>
    <x:numFmt numFmtId="210" formatCode="0.000x"/>
    <x:numFmt numFmtId="211" formatCode="0%;(0%);-"/>
    <x:numFmt numFmtId="212" formatCode="0.0%"/>
    <x:numFmt numFmtId="213" formatCode="0.00%"/>
    <x:numFmt numFmtId="214" formatCode="$0.000"/>
    <x:numFmt numFmtId="215" formatCode="$#,##0;($#,##0);-"/>
  </x:numFmts>
  <x:fonts count="17">
    <x:font>
      <x:sz val="11"/>
      <x:name val="Carlito"/>
    </x:font>
    <x:font>
      <x:sz val="10"/>
      <x:color rgb="FF1F1F1F"/>
      <x:name val="Arial"/>
    </x:font>
    <x:font>
      <x:b/>
      <x:sz val="15"/>
      <x:color rgb="FFFFFFFF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i/>
      <x:sz val="10"/>
      <x:color rgb="FF0000FF"/>
      <x:name val="Arial"/>
    </x:font>
    <x:font>
      <x:i/>
      <x:sz val="10"/>
      <x:color rgb="FF1F1F1F"/>
      <x:name val="Arial"/>
    </x:font>
    <x:font>
      <x:b/>
      <x:sz val="10"/>
      <x:color rgb="FF006100"/>
      <x:name val="Arial"/>
    </x:font>
    <x:font>
      <x:sz val="9"/>
      <x:color rgb="FF444444"/>
      <x:name val="Arial"/>
    </x:font>
    <x:font>
      <x:b/>
      <x:sz val="10"/>
      <x:color rgb="FF008000"/>
      <x:name val="Arial"/>
    </x:font>
    <x:font>
      <x:sz val="10"/>
      <x:color rgb="FF008000"/>
      <x:name val="Arial"/>
    </x:font>
    <x:font>
      <x:i/>
      <x:sz val="10"/>
      <x:color rgb="FF008000"/>
      <x:name val="Arial"/>
    </x:font>
    <x:font>
      <x:b/>
      <x:i/>
      <x:sz val="10"/>
      <x:color rgb="FF1F1F1F"/>
      <x:name val="Arial"/>
    </x:font>
    <x:font>
      <x:b/>
      <x:sz val="10"/>
      <x:color rgb="FF1F1F1F"/>
      <x:name val="Arial"/>
    </x:font>
    <x:font>
      <x:sz val="8"/>
      <x:color rgb="FF7F7F7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6F7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4FB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AFAFA"/>
      </x:patternFill>
    </x:fill>
  </x:fills>
  <x:borders count="4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0E7"/>
      </x:left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1" fontId="6" fillId="6" borderId="0" xfId="0" applyNumberFormat="1" applyFont="1" applyFill="1" applyBorder="1"/>
    <x:xf numFmtId="201" fontId="7" fillId="6" borderId="0" xfId="0" applyNumberFormat="1" applyFont="1" applyFill="1" applyBorder="1"/>
    <x:xf numFmtId="202" fontId="6" fillId="6" borderId="0" xfId="0" applyNumberFormat="1" applyFont="1" applyFill="1" applyBorder="1"/>
    <x:xf numFmtId="203" fontId="6" fillId="6" borderId="0" xfId="0" applyNumberFormat="1" applyFont="1" applyFill="1" applyBorder="1"/>
    <x:xf numFmtId="200" fontId="6" fillId="6" borderId="2" xfId="0" applyNumberFormat="1" applyFont="1" applyFill="1" applyBorder="1"/>
    <x:xf numFmtId="201" fontId="7" fillId="6" borderId="2" xfId="0" applyNumberFormat="1" applyFont="1" applyFill="1" applyBorder="1"/>
    <x:xf numFmtId="202" fontId="6" fillId="6" borderId="2" xfId="0" applyNumberFormat="1" applyFont="1" applyFill="1" applyBorder="1"/>
    <x:xf numFmtId="203" fontId="6" fillId="6" borderId="2" xfId="0" applyNumberFormat="1" applyFont="1" applyFill="1" applyBorder="1"/>
    <x:xf numFmtId="201" fontId="1" fillId="0" borderId="0" xfId="0" applyNumberFormat="1" applyFont="1" applyFill="1" applyBorder="1"/>
    <x:xf numFmtId="201" fontId="8" fillId="0" borderId="0" xfId="0" applyNumberFormat="1" applyFont="1" applyFill="1" applyBorder="1"/>
    <x:xf numFmtId="200" fontId="1" fillId="0" borderId="0" xfId="0" applyNumberFormat="1" applyFont="1" applyFill="1" applyBorder="1"/>
    <x:xf numFmtId="201" fontId="8" fillId="0" borderId="2" xfId="0" applyNumberFormat="1" applyFont="1" applyFill="1" applyBorder="1"/>
    <x:xf numFmtId="200" fontId="1" fillId="0" borderId="2" xfId="0" applyNumberFormat="1" applyFont="1" applyFill="1" applyBorder="1"/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200" fontId="6" fillId="7" borderId="0" xfId="0" applyNumberFormat="1" applyFont="1" applyFill="1" applyBorder="1"/>
    <x:xf numFmtId="204" fontId="6" fillId="6" borderId="0" xfId="0" applyNumberFormat="1" applyFont="1" applyFill="1" applyBorder="1"/>
    <x:xf numFmtId="201" fontId="1" fillId="7" borderId="0" xfId="0" applyNumberFormat="1" applyFont="1" applyFill="1" applyBorder="1"/>
    <x:xf numFmtId="201" fontId="8" fillId="7" borderId="0" xfId="0" applyNumberFormat="1" applyFont="1" applyFill="1" applyBorder="1"/>
    <x:xf numFmtId="201" fontId="6" fillId="7" borderId="0" xfId="0" applyNumberFormat="1" applyFont="1" applyFill="1" applyBorder="1"/>
    <x:xf numFmtId="201" fontId="7" fillId="7" borderId="0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200" fontId="6" fillId="7" borderId="2" xfId="0" applyNumberFormat="1" applyFont="1" applyFill="1" applyBorder="1"/>
    <x:xf numFmtId="204" fontId="6" fillId="6" borderId="2" xfId="0" applyNumberFormat="1" applyFont="1" applyFill="1" applyBorder="1"/>
    <x:xf numFmtId="201" fontId="8" fillId="7" borderId="2" xfId="0" applyNumberFormat="1" applyFont="1" applyFill="1" applyBorder="1"/>
    <x:xf numFmtId="201" fontId="7" fillId="7" borderId="2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9" fillId="8" borderId="0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203" fontId="1" fillId="0" borderId="2" xfId="0" applyNumberFormat="1" applyFont="1" applyFill="1" applyBorder="1"/>
    <x:xf numFmtId="0" fontId="9" fillId="8" borderId="2" xfId="0" applyNumberFormat="1" applyFont="1" applyFill="1" applyBorder="1"/>
    <x:xf numFmtId="205" fontId="6" fillId="6" borderId="0" xfId="0" applyNumberFormat="1" applyFont="1" applyFill="1" applyBorder="1"/>
    <x:xf numFmtId="206" fontId="6" fillId="6" borderId="0" xfId="0" applyNumberFormat="1" applyFont="1" applyFill="1" applyBorder="1"/>
    <x:xf numFmtId="205" fontId="6" fillId="6" borderId="2" xfId="0" applyNumberFormat="1" applyFont="1" applyFill="1" applyBorder="1"/>
    <x:xf numFmtId="206" fontId="6" fillId="6" borderId="2" xfId="0" applyNumberFormat="1" applyFont="1" applyFill="1" applyBorder="1"/>
    <x:xf numFmtId="207" fontId="6" fillId="6" borderId="0" xfId="0" applyNumberFormat="1" applyFont="1" applyFill="1" applyBorder="1"/>
    <x:xf numFmtId="208" fontId="6" fillId="6" borderId="0" xfId="0" applyNumberFormat="1" applyFont="1" applyFill="1" applyBorder="1"/>
    <x:xf numFmtId="208" fontId="7" fillId="6" borderId="0" xfId="0" applyNumberFormat="1" applyFont="1" applyFill="1" applyBorder="1"/>
    <x:xf numFmtId="207" fontId="6" fillId="6" borderId="2" xfId="0" applyNumberFormat="1" applyFont="1" applyFill="1" applyBorder="1"/>
    <x:xf numFmtId="208" fontId="7" fillId="6" borderId="2" xfId="0" applyNumberFormat="1" applyFont="1" applyFill="1" applyBorder="1"/>
    <x:xf numFmtId="0" fontId="5" fillId="9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200" fontId="1" fillId="10" borderId="0" xfId="0" applyNumberFormat="1" applyFont="1" applyFill="1" applyBorder="1"/>
    <x:xf numFmtId="200" fontId="1" fillId="7" borderId="0" xfId="0" applyNumberFormat="1" applyFont="1" applyFill="1" applyBorder="1"/>
    <x:xf numFmtId="201" fontId="8" fillId="10" borderId="0" xfId="0" applyNumberFormat="1" applyFont="1" applyFill="1" applyBorder="1"/>
    <x:xf numFmtId="0" fontId="5" fillId="9" borderId="2" xfId="0" applyNumberFormat="1" applyFont="1" applyFill="1" applyBorder="1" applyAlignment="1">
      <x:alignment vertical="center"/>
    </x:xf>
    <x:xf numFmtId="200" fontId="1" fillId="10" borderId="2" xfId="0" applyNumberFormat="1" applyFont="1" applyFill="1" applyBorder="1"/>
    <x:xf numFmtId="200" fontId="1" fillId="7" borderId="2" xfId="0" applyNumberFormat="1" applyFont="1" applyFill="1" applyBorder="1"/>
    <x:xf numFmtId="0" fontId="10" fillId="0" borderId="2" xfId="0" applyNumberFormat="1" applyFont="1" applyFill="1" applyBorder="1" applyAlignment="1">
      <x:alignment vertical="top" wrapText="1"/>
    </x:xf>
    <x:xf numFmtId="201" fontId="8" fillId="10" borderId="2" xfId="0" applyNumberFormat="1" applyFont="1" applyFill="1" applyBorder="1"/>
    <x:xf numFmtId="0" fontId="11" fillId="4" borderId="2" xfId="0" applyNumberFormat="1" applyFont="1" applyFill="1" applyBorder="1" applyAlignment="1">
      <x:alignment vertical="center"/>
    </x:xf>
    <x:xf numFmtId="200" fontId="12" fillId="10" borderId="2" xfId="0" applyNumberFormat="1" applyFont="1" applyFill="1" applyBorder="1"/>
    <x:xf numFmtId="200" fontId="12" fillId="7" borderId="2" xfId="0" applyNumberFormat="1" applyFont="1" applyFill="1" applyBorder="1"/>
    <x:xf numFmtId="201" fontId="13" fillId="10" borderId="2" xfId="0" applyNumberFormat="1" applyFont="1" applyFill="1" applyBorder="1"/>
    <x:xf numFmtId="201" fontId="13" fillId="7" borderId="2" xfId="0" applyNumberFormat="1" applyFont="1" applyFill="1" applyBorder="1"/>
    <x:xf numFmtId="206" fontId="1" fillId="0" borderId="0" xfId="0" applyNumberFormat="1" applyFont="1" applyFill="1" applyBorder="1"/>
    <x:xf numFmtId="206" fontId="1" fillId="0" borderId="2" xfId="0" applyNumberFormat="1" applyFont="1" applyFill="1" applyBorder="1"/>
    <x:xf numFmtId="209" fontId="1" fillId="0" borderId="0" xfId="0" applyNumberFormat="1" applyFont="1" applyFill="1" applyBorder="1"/>
    <x:xf numFmtId="209" fontId="5" fillId="5" borderId="1" xfId="0" applyNumberFormat="1" applyFont="1" applyFill="1" applyBorder="1" applyAlignment="1">
      <x:alignment vertical="center"/>
    </x:xf>
    <x:xf numFmtId="209" fontId="5" fillId="5" borderId="2" xfId="0" applyNumberFormat="1" applyFont="1" applyFill="1" applyBorder="1" applyAlignment="1">
      <x:alignment vertical="center"/>
    </x:xf>
    <x:xf numFmtId="209" fontId="1" fillId="0" borderId="2" xfId="0" applyNumberFormat="1" applyFont="1" applyFill="1" applyBorder="1"/>
    <x:xf numFmtId="201" fontId="8" fillId="8" borderId="2" xfId="0" applyNumberFormat="1" applyFont="1" applyFill="1" applyBorder="1"/>
    <x:xf numFmtId="201" fontId="14" fillId="8" borderId="2" xfId="0" applyNumberFormat="1" applyFont="1" applyFill="1" applyBorder="1"/>
    <x:xf numFmtId="0" fontId="6" fillId="0" borderId="2" xfId="0" applyNumberFormat="1" applyFont="1" applyFill="1" applyBorder="1"/>
    <x:xf numFmtId="204" fontId="6" fillId="0" borderId="2" xfId="0" applyNumberFormat="1" applyFont="1" applyFill="1" applyBorder="1"/>
    <x:xf numFmtId="201" fontId="6" fillId="0" borderId="2" xfId="0" applyNumberFormat="1" applyFont="1" applyFill="1" applyBorder="1"/>
    <x:xf numFmtId="201" fontId="7" fillId="0" borderId="2" xfId="0" applyNumberFormat="1" applyFont="1" applyFill="1" applyBorder="1"/>
    <x:xf numFmtId="208" fontId="1" fillId="0" borderId="0" xfId="0" applyNumberFormat="1" applyFont="1" applyFill="1" applyBorder="1"/>
    <x:xf numFmtId="208" fontId="8" fillId="0" borderId="0" xfId="0" applyNumberFormat="1" applyFont="1" applyFill="1" applyBorder="1"/>
    <x:xf numFmtId="204" fontId="1" fillId="0" borderId="0" xfId="0" applyNumberFormat="1" applyFont="1" applyFill="1" applyBorder="1"/>
    <x:xf numFmtId="208" fontId="8" fillId="0" borderId="2" xfId="0" applyNumberFormat="1" applyFont="1" applyFill="1" applyBorder="1"/>
    <x:xf numFmtId="204" fontId="1" fillId="0" borderId="2" xfId="0" applyNumberFormat="1" applyFont="1" applyFill="1" applyBorder="1"/>
    <x:xf numFmtId="210" fontId="1" fillId="0" borderId="0" xfId="0" applyNumberFormat="1" applyFont="1" applyFill="1" applyBorder="1"/>
    <x:xf numFmtId="210" fontId="1" fillId="0" borderId="2" xfId="0" applyNumberFormat="1" applyFont="1" applyFill="1" applyBorder="1"/>
    <x:xf numFmtId="211" fontId="1" fillId="0" borderId="0" xfId="0" applyNumberFormat="1" applyFont="1" applyFill="1" applyBorder="1"/>
    <x:xf numFmtId="211" fontId="8" fillId="0" borderId="0" xfId="0" applyNumberFormat="1" applyFont="1" applyFill="1" applyBorder="1"/>
    <x:xf numFmtId="211" fontId="8" fillId="0" borderId="2" xfId="0" applyNumberFormat="1" applyFont="1" applyFill="1" applyBorder="1"/>
    <x:xf numFmtId="0" fontId="1" fillId="8" borderId="2" xfId="0" applyNumberFormat="1" applyFont="1" applyFill="1" applyBorder="1"/>
    <x:xf numFmtId="203" fontId="1" fillId="8" borderId="2" xfId="0" applyNumberFormat="1" applyFont="1" applyFill="1" applyBorder="1"/>
    <x:xf numFmtId="211" fontId="8" fillId="8" borderId="2" xfId="0" applyNumberFormat="1" applyFont="1" applyFill="1" applyBorder="1"/>
    <x:xf numFmtId="0" fontId="15" fillId="8" borderId="2" xfId="0" applyNumberFormat="1" applyFont="1" applyFill="1" applyBorder="1"/>
    <x:xf numFmtId="203" fontId="15" fillId="8" borderId="2" xfId="0" applyNumberFormat="1" applyFont="1" applyFill="1" applyBorder="1"/>
    <x:xf numFmtId="211" fontId="14" fillId="8" borderId="2" xfId="0" applyNumberFormat="1" applyFont="1" applyFill="1" applyBorder="1"/>
    <x:xf numFmtId="202" fontId="1" fillId="0" borderId="0" xfId="0" applyNumberFormat="1" applyFont="1" applyFill="1" applyBorder="1"/>
    <x:xf numFmtId="202" fontId="1" fillId="0" borderId="2" xfId="0" applyNumberFormat="1" applyFont="1" applyFill="1" applyBorder="1"/>
    <x:xf numFmtId="212" fontId="1" fillId="0" borderId="0" xfId="0" applyNumberFormat="1" applyFont="1" applyFill="1" applyBorder="1"/>
    <x:xf numFmtId="213" fontId="5" fillId="5" borderId="1" xfId="0" applyNumberFormat="1" applyFont="1" applyFill="1" applyBorder="1" applyAlignment="1">
      <x:alignment vertical="center"/>
    </x:xf>
    <x:xf numFmtId="213" fontId="5" fillId="5" borderId="2" xfId="0" applyNumberFormat="1" applyFont="1" applyFill="1" applyBorder="1" applyAlignment="1">
      <x:alignment vertical="center"/>
    </x:xf>
    <x:xf numFmtId="212" fontId="1" fillId="0" borderId="2" xfId="0" applyNumberFormat="1" applyFont="1" applyFill="1" applyBorder="1"/>
    <x:xf numFmtId="214" fontId="1" fillId="0" borderId="0" xfId="0" applyNumberFormat="1" applyFont="1" applyFill="1" applyBorder="1"/>
    <x:xf numFmtId="214" fontId="1" fillId="0" borderId="2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/>
    <x:xf numFmtId="0" fontId="16" fillId="0" borderId="3" xfId="0" applyNumberFormat="1" applyFont="1" applyFill="1" applyBorder="1"/>
    <x:xf numFmtId="215" fontId="16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338b9c6a043a5" /><Relationship Type="http://schemas.openxmlformats.org/officeDocument/2006/relationships/theme" Target="/xl/theme/theme1.xml" Id="R3c283aa139dc400c" /><Relationship Type="http://schemas.openxmlformats.org/officeDocument/2006/relationships/sharedStrings" Target="/xl/sharedStrings.xml" Id="R6b31dd798a1c440f" /><Relationship Type="http://schemas.openxmlformats.org/officeDocument/2006/relationships/worksheet" Target="/xl/worksheets/sheet1.xml" Id="R0090a717ffff4be3" /><Relationship Type="http://schemas.openxmlformats.org/officeDocument/2006/relationships/worksheet" Target="/xl/worksheets/sheet2.xml" Id="R08c0334c935c45bd" /><Relationship Type="http://schemas.openxmlformats.org/officeDocument/2006/relationships/worksheet" Target="/xl/worksheets/sheet3.xml" Id="R425ceba8d64a4c76" /><Relationship Type="http://schemas.openxmlformats.org/officeDocument/2006/relationships/worksheet" Target="/xl/worksheets/sheet4.xml" Id="R6cec367d2e1a4643" /><Relationship Type="http://schemas.openxmlformats.org/officeDocument/2006/relationships/worksheet" Target="/xl/worksheets/sheet5.xml" Id="R3c5c3523589d49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067e9f99504387" /><Relationship Type="http://schemas.openxmlformats.org/officeDocument/2006/relationships/chart" Target="/xl/drawings/charts/chart2.xml" Id="Rb29b8d72ee5f4e7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deb3d862b5e43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Revenue, FY2020–FY2030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'Summary'!$E$29:$E$39</c:f>
              <c:strCache>
                <c:ptCount val="0"/>
              </c:strCache>
            </c:strRef>
          </c:cat>
          <c:val>
            <c:numRef>
              <c:f>'Summary'!$F$29:$F$39</c:f>
              <c:numCache>
                <c:formatCode>$0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values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value/share</c:v>
          </c:tx>
          <c:cat>
            <c:strRef>
              <c:f>'Valuation Model'!$A$7:$A$9</c:f>
              <c:strCache>
                <c:ptCount val="0"/>
              </c:strCache>
            </c:strRef>
          </c:cat>
          <c:val>
            <c:numRef>
              <c:f>'Valuation Model'!$B$7:$B$9</c:f>
              <c:numCache>
                <c:formatCode>$#,##0.00;($#,##0.00);-</c:formatCode>
                <c:ptCount val="0"/>
              </c:numCache>
            </c:numRef>
          </c:val>
        </c:ser>
        <c:ser>
          <c:idx val="1"/>
          <c:order val="1"/>
          <c:tx>
            <c:v>12-month value/share</c:v>
          </c:tx>
          <c:cat>
            <c:strRef>
              <c:f>'Valuation Model'!$A$7:$A$9</c:f>
              <c:strCache>
                <c:ptCount val="0"/>
              </c:strCache>
            </c:strRef>
          </c:cat>
          <c:val>
            <c:numRef>
              <c:f>'Valuation Model'!$C$7:$C$9</c:f>
              <c:numCache>
                <c:formatCode>$#,##0.00;($#,##0.00);-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values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value/share</c:v>
          </c:tx>
          <c:cat>
            <c:strRef>
              <c:f>'Valuation Model'!$A$7:$A$9</c:f>
              <c:strCache>
                <c:ptCount val="0"/>
              </c:strCache>
            </c:strRef>
          </c:cat>
          <c:val>
            <c:numRef>
              <c:f>'Valuation Model'!$B$7:$B$9</c:f>
              <c:numCache>
                <c:formatCode>$#,##0.00;($#,##0.00);-</c:formatCode>
                <c:ptCount val="0"/>
              </c:numCache>
            </c:numRef>
          </c:val>
        </c:ser>
        <c:ser>
          <c:idx val="1"/>
          <c:order val="1"/>
          <c:tx>
            <c:v>12-month value/share</c:v>
          </c:tx>
          <c:cat>
            <c:strRef>
              <c:f>'Valuation Model'!$A$7:$A$9</c:f>
              <c:strCache>
                <c:ptCount val="0"/>
              </c:strCache>
            </c:strRef>
          </c:cat>
          <c:val>
            <c:numRef>
              <c:f>'Valuation Model'!$C$7:$C$9</c:f>
              <c:numCache>
                <c:formatCode>$#,##0.00;($#,##0.00);-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067e9f99504387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9b8d72ee5f4e7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eb3d862b5e43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da4e27d26343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70b425020fa44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58" hidden="0" customWidth="1"/>
    <x:col min="4" max="4" width="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4" customHeight="1">
      <x:c r="A1" s="4" t="str">
        <x:v>ZETA Global Equity Research Model</x:v>
      </x:c>
      <x:c r="B1" s="4" t="str">
        <x:v>ZETA Global Equity Research Model</x:v>
      </x:c>
      <x:c r="C1" s="4" t="str">
        <x:v>ZETA Global Equity Research Model</x:v>
      </x:c>
      <x:c r="D1" s="4" t="str">
        <x:v>ZETA Global Equity Research Model</x:v>
      </x:c>
      <x:c r="E1" s="4" t="str">
        <x:v>ZETA Global Equity Research Model</x:v>
      </x:c>
      <x:c r="F1" s="4" t="str">
        <x:v>ZETA Global Equity Research Model</x:v>
      </x:c>
      <x:c r="G1" s="4" t="str">
        <x:v>ZETA Global Equity Research Model</x:v>
      </x:c>
      <x:c r="H1" s="4" t="str">
        <x:v>ZETA Global Equity Research Model</x:v>
      </x:c>
      <x:c r="I1" s="4" t="str">
        <x:v>ZETA Global Equity Research Model</x:v>
      </x:c>
      <x:c r="J1" s="4" t="str">
        <x:v>ZETA Global Equity Research Model</x:v>
      </x:c>
      <x:c r="K1" s="4" t="str">
        <x:v>ZETA Global Equity Research Model</x:v>
      </x:c>
      <x:c r="L1" s="4" t="str">
        <x:v>ZETA Global Equity Research Model</x:v>
      </x:c>
      <x:c r="M1" s="4" t="str">
        <x:v>ZETA Global Equity Research Model</x:v>
      </x:c>
    </x:row>
    <x:row r="2" ht="24" customHeight="1">
      <x:c r="A2" s="4" t="str">
        <x:v>ZETA Global Equity Research Model</x:v>
      </x:c>
      <x:c r="B2" s="4" t="str">
        <x:v>ZETA Global Equity Research Model</x:v>
      </x:c>
      <x:c r="C2" s="4" t="str">
        <x:v>ZETA Global Equity Research Model</x:v>
      </x:c>
      <x:c r="D2" s="4" t="str">
        <x:v>ZETA Global Equity Research Model</x:v>
      </x:c>
      <x:c r="E2" s="4" t="str">
        <x:v>ZETA Global Equity Research Model</x:v>
      </x:c>
      <x:c r="F2" s="4" t="str">
        <x:v>ZETA Global Equity Research Model</x:v>
      </x:c>
      <x:c r="G2" s="4" t="str">
        <x:v>ZETA Global Equity Research Model</x:v>
      </x:c>
      <x:c r="H2" s="4" t="str">
        <x:v>ZETA Global Equity Research Model</x:v>
      </x:c>
      <x:c r="I2" s="4" t="str">
        <x:v>ZETA Global Equity Research Model</x:v>
      </x:c>
      <x:c r="J2" s="4" t="str">
        <x:v>ZETA Global Equity Research Model</x:v>
      </x:c>
      <x:c r="K2" s="4" t="str">
        <x:v>ZETA Global Equity Research Model</x:v>
      </x:c>
      <x:c r="L2" s="4" t="str">
        <x:v>ZETA Global Equity Research Model</x:v>
      </x:c>
      <x:c r="M2" s="4" t="str">
        <x:v>ZETA Global Equity Research Model</x:v>
      </x:c>
    </x:row>
    <x:row r="3">
      <x:c r="A3" s="8" t="str">
        <x:v>Reader-facing model. All headline values link to the formula-driven Forecast and Valuation Model sheets.</x:v>
      </x:c>
      <x:c r="B3" s="8" t="str">
        <x:v>Reader-facing model. All headline values link to the formula-driven Forecast and Valuation Model sheets.</x:v>
      </x:c>
      <x:c r="C3" s="8" t="str">
        <x:v>Reader-facing model. All headline values link to the formula-driven Forecast and Valuation Model sheets.</x:v>
      </x:c>
      <x:c r="D3" s="8" t="str">
        <x:v>Reader-facing model. All headline values link to the formula-driven Forecast and Valuation Model sheets.</x:v>
      </x:c>
      <x:c r="E3" s="8" t="str">
        <x:v>Reader-facing model. All headline values link to the formula-driven Forecast and Valuation Model sheets.</x:v>
      </x:c>
      <x:c r="F3" s="8" t="str">
        <x:v>Reader-facing model. All headline values link to the formula-driven Forecast and Valuation Model sheets.</x:v>
      </x:c>
      <x:c r="G3" s="8" t="str">
        <x:v>Reader-facing model. All headline values link to the formula-driven Forecast and Valuation Model sheets.</x:v>
      </x:c>
      <x:c r="H3" s="8" t="str">
        <x:v>Reader-facing model. All headline values link to the formula-driven Forecast and Valuation Model sheets.</x:v>
      </x:c>
      <x:c r="I3" s="8" t="str">
        <x:v>Reader-facing model. All headline values link to the formula-driven Forecast and Valuation Model sheets.</x:v>
      </x:c>
      <x:c r="J3" s="8" t="str">
        <x:v>Reader-facing model. All headline values link to the formula-driven Forecast and Valuation Model sheets.</x:v>
      </x:c>
      <x:c r="K3" s="8" t="str">
        <x:v>Reader-facing model. All headline values link to the formula-driven Forecast and Valuation Model sheets.</x:v>
      </x:c>
      <x:c r="L3" s="8" t="str">
        <x:v>Reader-facing model. All headline values link to the formula-driven Forecast and Valuation Model sheets.</x:v>
      </x:c>
      <x:c r="M3" s="8" t="str">
        <x:v>Reader-facing model. All headline values link to the formula-driven Forecast and Valuation Model sheets.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0" customHeight="1">
      <x:c r="A5" s="11" t="str">
        <x:v>Rating and target</x:v>
      </x:c>
      <x:c r="B5" s="11" t="str">
        <x:v>Rating and target</x:v>
      </x:c>
      <x:c r="C5" s="11" t="str">
        <x:v>Rating and target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6" t="str">
        <x:v>Metric</x:v>
      </x:c>
      <x:c r="B6" s="16" t="str">
        <x:v>Value</x:v>
      </x:c>
      <x:c r="C6" s="16" t="str">
        <x:v>Meaning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>
      <x:c r="A7" s="17" t="str">
        <x:v>Rating</x:v>
      </x:c>
      <x:c r="B7" s="17" t="str">
        <x:f>IF(B10&gt;='Sources &amp; Assumptions'!K113,"Buy / Outperform",IF(B10&lt;='Sources &amp; Assumptions'!K114,"Sell / Avoid","Neutral / Hold"))</x:f>
        <x:v>Neutral / Hold</x:v>
      </x:c>
      <x:c r="C7" s="17" t="str">
        <x:v>Based on probability-weighted 12-month return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7" t="str">
        <x:v>12-month target</x:v>
      </x:c>
      <x:c r="B8" s="52" t="n">
        <x:f>'Valuation Model'!C10</x:f>
        <x:v>30.87041262271264</x:v>
      </x:c>
      <x:c r="C8" s="17" t="str">
        <x:v>Probability-weighted scenario value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7" t="str">
        <x:v>Reference price</x:v>
      </x:c>
      <x:c r="B9" s="52" t="n">
        <x:f>'Sources &amp; Assumptions'!K112</x:f>
        <x:v>29.07</x:v>
      </x:c>
      <x:c r="C9" s="17" t="str">
        <x:v>21 Aug 2026 close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7" t="str">
        <x:v>Implied return</x:v>
      </x:c>
      <x:c r="B10" s="32" t="n">
        <x:f>B8/B9-1</x:f>
        <x:v>0.06193369875172472</x:v>
      </x:c>
      <x:c r="C10" s="17" t="str">
        <x:v>Target ÷ reference price − 1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7" t="str">
        <x:v>Standalone Base value</x:v>
      </x:c>
      <x:c r="B11" s="52" t="n">
        <x:f>'Valuation Model'!C8</x:f>
        <x:v>33.9837814910347</x:v>
      </x:c>
      <x:c r="C11" s="17" t="str">
        <x:v>Base scenario before probability weighting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0" customHeight="1">
      <x:c r="A14" s="11" t="str">
        <x:v>Base operating outcome</x:v>
      </x:c>
      <x:c r="B14" s="11" t="str">
        <x:v>Base operating outcome</x:v>
      </x:c>
      <x:c r="C14" s="11" t="str">
        <x:v>Base operating outcome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6" t="str">
        <x:v>Metric</x:v>
      </x:c>
      <x:c r="B15" s="16" t="str">
        <x:v>Value</x:v>
      </x:c>
      <x:c r="C15" s="16" t="str">
        <x:v>Interpretation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7" t="str">
        <x:v>Revenue</x:v>
      </x:c>
      <x:c r="B16" s="17" t="str">
        <x:f>"$"&amp;TEXT(Forecast!H7/1000,"0.00")&amp;"bn to $"&amp;TEXT(Forecast!L7/1000,"0.00")&amp;"bn"</x:f>
        <x:v>$1.82bn to $3.77bn</x:v>
      </x:c>
      <x:c r="C16" s="17" t="str">
        <x:v>FY2026 to FY2030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7" t="str">
        <x:v>Forecast GAAP EBIT margin</x:v>
      </x:c>
      <x:c r="B17" s="17" t="str">
        <x:f>TEXT(Forecast!H25,"0.0%")&amp;" to "&amp;TEXT(Forecast!L25,"0.0%")</x:f>
        <x:v>3.0% to 14.4%</x:v>
      </x:c>
      <x:c r="C17" s="17" t="str">
        <x:v>FY2026 to FY2030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7" t="str">
        <x:v>Gross margin</x:v>
      </x:c>
      <x:c r="B18" s="17" t="str">
        <x:f>TEXT(Forecast!H10,"0.0%")&amp;" to "&amp;TEXT(Forecast!L10,"0.0%")</x:f>
        <x:v>58.8% to 57.4%</x:v>
      </x:c>
      <x:c r="C18" s="17" t="str">
        <x:v>FY2026 to FY2030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7" t="str">
        <x:v>FCFF</x:v>
      </x:c>
      <x:c r="B19" s="17" t="str">
        <x:f>"$"&amp;TEXT(Forecast!H35,"0")&amp;"m to $"&amp;TEXT(Forecast!L35,"0")&amp;"m"</x:f>
        <x:v>$53m to $379m</x:v>
      </x:c>
      <x:c r="C19" s="17" t="str">
        <x:v>FY2026 to FY2030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7" t="str">
        <x:v>Central execution test</x:v>
      </x:c>
      <x:c r="B20" s="17" t="str">
        <x:v>S&amp;M and G&amp;A absorption</x:v>
      </x:c>
      <x:c r="C20" s="17" t="str">
        <x:v>R&amp;D and operating investment remain funded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B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C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D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E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F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G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H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I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J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K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L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M23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</x:row>
    <x:row r="24">
      <x:c r="A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B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C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D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E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F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G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H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I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J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K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L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M24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</x:row>
    <x:row r="25">
      <x:c r="A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B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C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D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E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F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G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H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I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J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K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L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M25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</x:row>
    <x:row r="26">
      <x:c r="A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B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C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D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E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F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G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H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I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J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K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L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  <x:c r="M26" s="117" t="str">
        <x:v>The Base case assumes strong demand and continued operating leverage. Gross margin does not expand, R&amp;D intensity remains broadly stable, and operating investment continues. Most of the increase in EBIT and FCFF therefore depends on S&amp;M and G&amp;A becoming smaller percentages of revenue.</x:v>
      </x:c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19" t="str">
        <x:v>Period</x:v>
      </x:c>
      <x:c r="F28" s="119" t="str">
        <x:v>Revenue</x:v>
      </x:c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19" t="str">
        <x:v>FY2020A</x:v>
      </x:c>
      <x:c r="F29" s="120" t="n">
        <x:f>Forecast!B7</x:f>
        <x:v>368.12</x:v>
      </x:c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19" t="str">
        <x:v>FY2021A</x:v>
      </x:c>
      <x:c r="F30" s="120" t="n">
        <x:f>Forecast!C7</x:f>
        <x:v>458.338</x:v>
      </x:c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19" t="str">
        <x:v>FY2022A</x:v>
      </x:c>
      <x:c r="F31" s="120" t="n">
        <x:f>Forecast!D7</x:f>
        <x:v>590.961</x:v>
      </x:c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19" t="str">
        <x:v>FY2023A</x:v>
      </x:c>
      <x:c r="F32" s="120" t="n">
        <x:f>Forecast!E7</x:f>
        <x:v>728.723</x:v>
      </x:c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19" t="str">
        <x:v>FY2024A</x:v>
      </x:c>
      <x:c r="F33" s="120" t="n">
        <x:f>Forecast!F7</x:f>
        <x:v>1005.754</x:v>
      </x:c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19" t="str">
        <x:v>FY2025A</x:v>
      </x:c>
      <x:c r="F34" s="120" t="n">
        <x:f>Forecast!G7</x:f>
        <x:v>1304.668</x:v>
      </x:c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19" t="str">
        <x:v>FY2026E</x:v>
      </x:c>
      <x:c r="F35" s="120" t="n">
        <x:f>Forecast!H7</x:f>
        <x:v>1818</x:v>
      </x:c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19" t="str">
        <x:v>FY2027E</x:v>
      </x:c>
      <x:c r="F36" s="120" t="n">
        <x:f>Forecast!I7</x:f>
        <x:v>2217.96</x:v>
      </x:c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19" t="str">
        <x:v>FY2028E</x:v>
      </x:c>
      <x:c r="F37" s="120" t="n">
        <x:f>Forecast!J7</x:f>
        <x:v>2683.7316</x:v>
      </x:c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19" t="str">
        <x:v>FY2029E</x:v>
      </x:c>
      <x:c r="F38" s="120" t="n">
        <x:f>Forecast!K7</x:f>
        <x:v>3193.640604</x:v>
      </x:c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19" t="str">
        <x:v>FY2030E</x:v>
      </x:c>
      <x:c r="F39" s="120" t="n">
        <x:f>Forecast!L7</x:f>
        <x:v>3768.49591272</x:v>
      </x:c>
      <x:c r="G39" s="1"/>
      <x:c r="H39" s="1"/>
      <x:c r="I39" s="1"/>
      <x:c r="J39" s="1"/>
      <x:c r="K39" s="1"/>
      <x:c r="L39" s="1"/>
      <x:c r="M39" s="1"/>
    </x:row>
  </x:sheetData>
  <x:mergeCells>
    <x:mergeCell ref="A1:M2"/>
    <x:mergeCell ref="A3:M3"/>
    <x:mergeCell ref="A5:C5"/>
    <x:mergeCell ref="A14:C14"/>
    <x:mergeCell ref="A23:M26"/>
  </x:mergeCells>
  <x:pageMargins left="0.7" right="0.7" top="0.75" bottom="0.75" header="0.3" footer="0.3"/>
  <x:drawing xmlns:r="http://schemas.openxmlformats.org/officeDocument/2006/relationships" r:id="R27da4e27d263437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1" hidden="0" customWidth="1"/>
    <x:col min="14" max="14" width="40" hidden="0" customWidth="1"/>
    <x:col min="15" max="15" width="58" hidden="0" customWidth="1"/>
  </x:cols>
  <x:sheetData>
    <x:row r="1" ht="24" customHeight="1">
      <x:c r="A1" s="4" t="str">
        <x:v>Historical and Base Forecast</x:v>
      </x:c>
      <x:c r="B1" s="4" t="str">
        <x:v>Historical and Base Forecast</x:v>
      </x:c>
      <x:c r="C1" s="4" t="str">
        <x:v>Historical and Base Forecast</x:v>
      </x:c>
      <x:c r="D1" s="4" t="str">
        <x:v>Historical and Base Forecast</x:v>
      </x:c>
      <x:c r="E1" s="4" t="str">
        <x:v>Historical and Base Forecast</x:v>
      </x:c>
      <x:c r="F1" s="4" t="str">
        <x:v>Historical and Base Forecast</x:v>
      </x:c>
      <x:c r="G1" s="4" t="str">
        <x:v>Historical and Base Forecast</x:v>
      </x:c>
      <x:c r="H1" s="4" t="str">
        <x:v>Historical and Base Forecast</x:v>
      </x:c>
      <x:c r="I1" s="4" t="str">
        <x:v>Historical and Base Forecast</x:v>
      </x:c>
      <x:c r="J1" s="4" t="str">
        <x:v>Historical and Base Forecast</x:v>
      </x:c>
      <x:c r="K1" s="4" t="str">
        <x:v>Historical and Base Forecast</x:v>
      </x:c>
      <x:c r="L1" s="4" t="str">
        <x:v>Historical and Base Forecast</x:v>
      </x:c>
      <x:c r="M1" s="4" t="str">
        <x:v>Historical and Base Forecast</x:v>
      </x:c>
      <x:c r="N1" s="4" t="str">
        <x:v>Historical and Base Forecast</x:v>
      </x:c>
      <x:c r="O1" s="4" t="str">
        <x:v>Historical and Base Forecast</x:v>
      </x:c>
    </x:row>
    <x:row r="2" ht="24" customHeight="1">
      <x:c r="A2" s="4" t="str">
        <x:v>Historical and Base Forecast</x:v>
      </x:c>
      <x:c r="B2" s="4" t="str">
        <x:v>Historical and Base Forecast</x:v>
      </x:c>
      <x:c r="C2" s="4" t="str">
        <x:v>Historical and Base Forecast</x:v>
      </x:c>
      <x:c r="D2" s="4" t="str">
        <x:v>Historical and Base Forecast</x:v>
      </x:c>
      <x:c r="E2" s="4" t="str">
        <x:v>Historical and Base Forecast</x:v>
      </x:c>
      <x:c r="F2" s="4" t="str">
        <x:v>Historical and Base Forecast</x:v>
      </x:c>
      <x:c r="G2" s="4" t="str">
        <x:v>Historical and Base Forecast</x:v>
      </x:c>
      <x:c r="H2" s="4" t="str">
        <x:v>Historical and Base Forecast</x:v>
      </x:c>
      <x:c r="I2" s="4" t="str">
        <x:v>Historical and Base Forecast</x:v>
      </x:c>
      <x:c r="J2" s="4" t="str">
        <x:v>Historical and Base Forecast</x:v>
      </x:c>
      <x:c r="K2" s="4" t="str">
        <x:v>Historical and Base Forecast</x:v>
      </x:c>
      <x:c r="L2" s="4" t="str">
        <x:v>Historical and Base Forecast</x:v>
      </x:c>
      <x:c r="M2" s="4" t="str">
        <x:v>Historical and Base Forecast</x:v>
      </x:c>
      <x:c r="N2" s="4" t="str">
        <x:v>Historical and Base Forecast</x:v>
      </x:c>
      <x:c r="O2" s="4" t="str">
        <x:v>Historical and Base Forecast</x:v>
      </x:c>
    </x:row>
    <x:row r="3">
      <x:c r="A3" s="8" t="str">
        <x:v>FY2020–FY2025 link to the source section. FY2026 links to near-term schedule anchors. FY2027–FY2030 use formulas that can be copied to the right. USD millions except percentages.</x:v>
      </x:c>
      <x:c r="B3" s="8" t="str">
        <x:v>FY2020–FY2025 link to the source section. FY2026 links to near-term schedule anchors. FY2027–FY2030 use formulas that can be copied to the right. USD millions except percentages.</x:v>
      </x:c>
      <x:c r="C3" s="8" t="str">
        <x:v>FY2020–FY2025 link to the source section. FY2026 links to near-term schedule anchors. FY2027–FY2030 use formulas that can be copied to the right. USD millions except percentages.</x:v>
      </x:c>
      <x:c r="D3" s="8" t="str">
        <x:v>FY2020–FY2025 link to the source section. FY2026 links to near-term schedule anchors. FY2027–FY2030 use formulas that can be copied to the right. USD millions except percentages.</x:v>
      </x:c>
      <x:c r="E3" s="8" t="str">
        <x:v>FY2020–FY2025 link to the source section. FY2026 links to near-term schedule anchors. FY2027–FY2030 use formulas that can be copied to the right. USD millions except percentages.</x:v>
      </x:c>
      <x:c r="F3" s="8" t="str">
        <x:v>FY2020–FY2025 link to the source section. FY2026 links to near-term schedule anchors. FY2027–FY2030 use formulas that can be copied to the right. USD millions except percentages.</x:v>
      </x:c>
      <x:c r="G3" s="8" t="str">
        <x:v>FY2020–FY2025 link to the source section. FY2026 links to near-term schedule anchors. FY2027–FY2030 use formulas that can be copied to the right. USD millions except percentages.</x:v>
      </x:c>
      <x:c r="H3" s="8" t="str">
        <x:v>FY2020–FY2025 link to the source section. FY2026 links to near-term schedule anchors. FY2027–FY2030 use formulas that can be copied to the right. USD millions except percentages.</x:v>
      </x:c>
      <x:c r="I3" s="8" t="str">
        <x:v>FY2020–FY2025 link to the source section. FY2026 links to near-term schedule anchors. FY2027–FY2030 use formulas that can be copied to the right. USD millions except percentages.</x:v>
      </x:c>
      <x:c r="J3" s="8" t="str">
        <x:v>FY2020–FY2025 link to the source section. FY2026 links to near-term schedule anchors. FY2027–FY2030 use formulas that can be copied to the right. USD millions except percentages.</x:v>
      </x:c>
      <x:c r="K3" s="8" t="str">
        <x:v>FY2020–FY2025 link to the source section. FY2026 links to near-term schedule anchors. FY2027–FY2030 use formulas that can be copied to the right. USD millions except percentages.</x:v>
      </x:c>
      <x:c r="L3" s="8" t="str">
        <x:v>FY2020–FY2025 link to the source section. FY2026 links to near-term schedule anchors. FY2027–FY2030 use formulas that can be copied to the right. USD millions except percentages.</x:v>
      </x:c>
      <x:c r="M3" s="8" t="str">
        <x:v>FY2020–FY2025 link to the source section. FY2026 links to near-term schedule anchors. FY2027–FY2030 use formulas that can be copied to the right. USD millions except percentages.</x:v>
      </x:c>
      <x:c r="N3" s="8" t="str">
        <x:v>FY2020–FY2025 link to the source section. FY2026 links to near-term schedule anchors. FY2027–FY2030 use formulas that can be copied to the right. USD millions except percentages.</x:v>
      </x:c>
      <x:c r="O3" s="8" t="str">
        <x:v>FY2020–FY2025 link to the source section. FY2026 links to near-term schedule anchors. FY2027–FY2030 use formulas that can be copied to the right. USD millions except percentages.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5" t="str">
        <x:v>Line item</x:v>
      </x:c>
      <x:c r="B5" s="70" t="str">
        <x:v>FY2020A</x:v>
      </x:c>
      <x:c r="C5" s="70" t="str">
        <x:v>FY2021A</x:v>
      </x:c>
      <x:c r="D5" s="70" t="str">
        <x:v>FY2022A</x:v>
      </x:c>
      <x:c r="E5" s="70" t="str">
        <x:v>FY2023A</x:v>
      </x:c>
      <x:c r="F5" s="70" t="str">
        <x:v>FY2024A</x:v>
      </x:c>
      <x:c r="G5" s="70" t="str">
        <x:v>FY2025A</x:v>
      </x:c>
      <x:c r="H5" s="16" t="str">
        <x:v>FY2026E</x:v>
      </x:c>
      <x:c r="I5" s="16" t="str">
        <x:v>FY2027E</x:v>
      </x:c>
      <x:c r="J5" s="16" t="str">
        <x:v>FY2028E</x:v>
      </x:c>
      <x:c r="K5" s="16" t="str">
        <x:v>FY2029E</x:v>
      </x:c>
      <x:c r="L5" s="16" t="str">
        <x:v>FY2030E</x:v>
      </x:c>
      <x:c r="M5" s="16" t="str">
        <x:v>Unit</x:v>
      </x:c>
      <x:c r="N5" s="16" t="str">
        <x:v>Formula / driver</x:v>
      </x:c>
      <x:c r="O5" s="16" t="str">
        <x:v>Reason / limitation</x:v>
      </x:c>
    </x:row>
    <x:row r="6" ht="20" customHeight="1">
      <x:c r="A6" s="11" t="str">
        <x:v>Revenue and gross profit</x:v>
      </x:c>
      <x:c r="B6" s="75" t="str">
        <x:v>Revenue and gross profit</x:v>
      </x:c>
      <x:c r="C6" s="75" t="str">
        <x:v>Revenue and gross profit</x:v>
      </x:c>
      <x:c r="D6" s="75" t="str">
        <x:v>Revenue and gross profit</x:v>
      </x:c>
      <x:c r="E6" s="75" t="str">
        <x:v>Revenue and gross profit</x:v>
      </x:c>
      <x:c r="F6" s="75" t="str">
        <x:v>Revenue and gross profit</x:v>
      </x:c>
      <x:c r="G6" s="75" t="str">
        <x:v>Revenue and gross profit</x:v>
      </x:c>
      <x:c r="H6" s="75" t="str">
        <x:v>Revenue and gross profit</x:v>
      </x:c>
      <x:c r="I6" s="75" t="str">
        <x:v>Revenue and gross profit</x:v>
      </x:c>
      <x:c r="J6" s="75" t="str">
        <x:v>Revenue and gross profit</x:v>
      </x:c>
      <x:c r="K6" s="75" t="str">
        <x:v>Revenue and gross profit</x:v>
      </x:c>
      <x:c r="L6" s="75" t="str">
        <x:v>Revenue and gross profit</x:v>
      </x:c>
      <x:c r="M6" s="42" t="str">
        <x:v>Revenue and gross profit</x:v>
      </x:c>
      <x:c r="N6" s="42" t="str">
        <x:v>Revenue and gross profit</x:v>
      </x:c>
      <x:c r="O6" s="42" t="str">
        <x:v>Revenue and gross profit</x:v>
      </x:c>
    </x:row>
    <x:row r="7">
      <x:c r="A7" s="1" t="str">
        <x:v>Revenue</x:v>
      </x:c>
      <x:c r="B7" s="76" t="n">
        <x:f>'Sources &amp; Assumptions'!D16</x:f>
        <x:v>368.12</x:v>
      </x:c>
      <x:c r="C7" s="76" t="n">
        <x:f>'Sources &amp; Assumptions'!E16</x:f>
        <x:v>458.338</x:v>
      </x:c>
      <x:c r="D7" s="76" t="n">
        <x:f>'Sources &amp; Assumptions'!F16</x:f>
        <x:v>590.961</x:v>
      </x:c>
      <x:c r="E7" s="76" t="n">
        <x:f>'Sources &amp; Assumptions'!G16</x:f>
        <x:v>728.723</x:v>
      </x:c>
      <x:c r="F7" s="76" t="n">
        <x:f>'Sources &amp; Assumptions'!H16</x:f>
        <x:v>1005.754</x:v>
      </x:c>
      <x:c r="G7" s="76" t="n">
        <x:f>'Sources &amp; Assumptions'!I16</x:f>
        <x:v>1304.668</x:v>
      </x:c>
      <x:c r="H7" s="77" t="n">
        <x:f>'Sources &amp; Assumptions'!C61</x:f>
        <x:v>1818</x:v>
      </x:c>
      <x:c r="I7" s="72" t="n">
        <x:f>H7*(1+'Sources &amp; Assumptions'!D67)</x:f>
        <x:v>2217.96</x:v>
      </x:c>
      <x:c r="J7" s="72" t="n">
        <x:f>I7*(1+'Sources &amp; Assumptions'!E67)</x:f>
        <x:v>2683.7316</x:v>
      </x:c>
      <x:c r="K7" s="72" t="n">
        <x:f>J7*(1+'Sources &amp; Assumptions'!F67)</x:f>
        <x:v>3193.640604</x:v>
      </x:c>
      <x:c r="L7" s="72" t="n">
        <x:f>K7*(1+'Sources &amp; Assumptions'!G67)</x:f>
        <x:v>3768.49591272</x:v>
      </x:c>
      <x:c r="M7" s="17" t="str">
        <x:v>$m</x:v>
      </x:c>
      <x:c r="N7" s="73" t="str">
        <x:v>Prior revenue × (1 + growth)</x:v>
      </x:c>
      <x:c r="O7" s="73" t="str">
        <x:v>FY2026 uses the near-term anchor; later years use explicit analyst growth estimates.</x:v>
      </x:c>
    </x:row>
    <x:row r="8">
      <x:c r="A8" s="1" t="str">
        <x:v>Revenue growth</x:v>
      </x:c>
      <x:c r="B8" s="78" t="n">
        <x:f>'Sources &amp; Assumptions'!B41</x:f>
        <x:v>0.20280606826966752</x:v>
      </x:c>
      <x:c r="C8" s="78" t="n">
        <x:f>'Sources &amp; Assumptions'!C41</x:f>
        <x:v>0.24507769205693797</x:v>
      </x:c>
      <x:c r="D8" s="78" t="n">
        <x:f>'Sources &amp; Assumptions'!D41</x:f>
        <x:v>0.289356326553766</x:v>
      </x:c>
      <x:c r="E8" s="78" t="n">
        <x:f>'Sources &amp; Assumptions'!E41</x:f>
        <x:v>0.23311521403273638</x:v>
      </x:c>
      <x:c r="F8" s="78" t="n">
        <x:f>'Sources &amp; Assumptions'!F41</x:f>
        <x:v>0.3801595393585766</x:v>
      </x:c>
      <x:c r="G8" s="78" t="n">
        <x:f>'Sources &amp; Assumptions'!G41</x:f>
        <x:v>0.2972038888237083</x:v>
      </x:c>
      <x:c r="H8" s="45" t="n">
        <x:f>H7/G7-1</x:f>
        <x:v>0.3934579525212545</x:v>
      </x:c>
      <x:c r="I8" s="45" t="n">
        <x:f>I7/H7-1</x:f>
        <x:v>0.21999999999999997</x:v>
      </x:c>
      <x:c r="J8" s="45" t="n">
        <x:f>J7/I7-1</x:f>
        <x:v>0.20999999999999996</x:v>
      </x:c>
      <x:c r="K8" s="45" t="n">
        <x:f>K7/J7-1</x:f>
        <x:v>0.18999999999999995</x:v>
      </x:c>
      <x:c r="L8" s="45" t="n">
        <x:f>L7/K7-1</x:f>
        <x:v>0.17999999999999994</x:v>
      </x:c>
      <x:c r="M8" s="17" t="str">
        <x:v>%</x:v>
      </x:c>
      <x:c r="N8" s="73" t="str">
        <x:v>Revenue ÷ prior revenue − 1</x:v>
      </x:c>
      <x:c r="O8" s="73" t="str">
        <x:v>The Base remains growth-oriented and slows from 22% to 18% through FY2030.</x:v>
      </x:c>
    </x:row>
    <x:row r="9">
      <x:c r="A9" s="1" t="str">
        <x:v>Gross profit</x:v>
      </x:c>
      <x:c r="B9" s="76" t="n">
        <x:f>'Sources &amp; Assumptions'!D18</x:f>
        <x:v>219.242</x:v>
      </x:c>
      <x:c r="C9" s="76" t="n">
        <x:f>'Sources &amp; Assumptions'!E18</x:f>
        <x:v>283.618</x:v>
      </x:c>
      <x:c r="D9" s="76" t="n">
        <x:f>'Sources &amp; Assumptions'!F18</x:f>
        <x:v>375.495</x:v>
      </x:c>
      <x:c r="E9" s="76" t="n">
        <x:f>'Sources &amp; Assumptions'!G18</x:f>
        <x:v>454.241</x:v>
      </x:c>
      <x:c r="F9" s="76" t="n">
        <x:f>'Sources &amp; Assumptions'!H18</x:f>
        <x:v>606.202</x:v>
      </x:c>
      <x:c r="G9" s="76" t="n">
        <x:f>'Sources &amp; Assumptions'!I18</x:f>
        <x:v>791.081</x:v>
      </x:c>
      <x:c r="H9" s="77" t="n">
        <x:f>'Sources &amp; Assumptions'!C62</x:f>
        <x:v>1068.30105</x:v>
      </x:c>
      <x:c r="I9" s="72" t="n">
        <x:f>H9+(I7-H7)*'Sources &amp; Assumptions'!D68</x:f>
        <x:v>1296.27825</x:v>
      </x:c>
      <x:c r="J9" s="72" t="n">
        <x:f>I9+(J7-I7)*'Sources &amp; Assumptions'!E68</x:f>
        <x:v>1557.1103460000002</x:v>
      </x:c>
      <x:c r="K9" s="72" t="n">
        <x:f>J9+(K7-J7)*'Sources &amp; Assumptions'!F68</x:f>
        <x:v>1842.6593882400002</x:v>
      </x:c>
      <x:c r="L9" s="72" t="n">
        <x:f>K9+(L7-K7)*'Sources &amp; Assumptions'!G68</x:f>
        <x:v>2164.5783611232</x:v>
      </x:c>
      <x:c r="M9" s="17" t="str">
        <x:v>$m</x:v>
      </x:c>
      <x:c r="N9" s="73" t="str">
        <x:v>Prior GP + incremental GM × revenue change</x:v>
      </x:c>
      <x:c r="O9" s="73" t="str">
        <x:v>The incremental method makes revenue mix visible.</x:v>
      </x:c>
    </x:row>
    <x:row r="10">
      <x:c r="A10" s="1" t="str">
        <x:v>Gross margin</x:v>
      </x:c>
      <x:c r="B10" s="78" t="n">
        <x:f>'Sources &amp; Assumptions'!B42</x:f>
        <x:v>0.595572096055634</x:v>
      </x:c>
      <x:c r="C10" s="78" t="n">
        <x:f>'Sources &amp; Assumptions'!C42</x:f>
        <x:v>0.6187966086163486</x:v>
      </x:c>
      <x:c r="D10" s="78" t="n">
        <x:f>'Sources &amp; Assumptions'!D42</x:f>
        <x:v>0.6353972597176464</x:v>
      </x:c>
      <x:c r="E10" s="78" t="n">
        <x:f>'Sources &amp; Assumptions'!E42</x:f>
        <x:v>0.6233383603920831</x:v>
      </x:c>
      <x:c r="F10" s="78" t="n">
        <x:f>'Sources &amp; Assumptions'!F42</x:f>
        <x:v>0.602733869315956</x:v>
      </x:c>
      <x:c r="G10" s="78" t="n">
        <x:f>'Sources &amp; Assumptions'!G42</x:f>
        <x:v>0.6063465954557022</x:v>
      </x:c>
      <x:c r="H10" s="45" t="n">
        <x:f>H9/H7</x:f>
        <x:v>0.5876243399339934</x:v>
      </x:c>
      <x:c r="I10" s="45" t="n">
        <x:f>I9/I7</x:f>
        <x:v>0.5844461802737652</x:v>
      </x:c>
      <x:c r="J10" s="45" t="n">
        <x:f>J9/J7</x:f>
        <x:v>0.5802034547717068</x:v>
      </x:c>
      <x:c r="K10" s="45" t="n">
        <x:f>K9/K7</x:f>
        <x:v>0.5769776930854679</x:v>
      </x:c>
      <x:c r="L10" s="45" t="n">
        <x:f>L9/L7</x:f>
        <x:v>0.5743878754961591</x:v>
      </x:c>
      <x:c r="M10" s="17" t="str">
        <x:v>%</x:v>
      </x:c>
      <x:c r="N10" s="73" t="str">
        <x:v>Gross profit ÷ revenue</x:v>
      </x:c>
      <x:c r="O10" s="73" t="str">
        <x:v>Output, not a preset endpoint.</x:v>
      </x:c>
    </x:row>
    <x:row r="11">
      <x:c r="A11" s="1" t="str">
        <x:v>Incremental gross margin</x:v>
      </x:c>
      <x:c r="B11" s="78" t="n">
        <x:f>'Sources &amp; Assumptions'!B43</x:f>
        <x:v>0.3798353445359195</x:v>
      </x:c>
      <x:c r="C11" s="78" t="n">
        <x:f>'Sources &amp; Assumptions'!C43</x:f>
        <x:v>0.7135604868208117</x:v>
      </x:c>
      <x:c r="D11" s="78" t="n">
        <x:f>'Sources &amp; Assumptions'!D43</x:f>
        <x:v>0.6927682227064689</x:v>
      </x:c>
      <x:c r="E11" s="78" t="n">
        <x:f>'Sources &amp; Assumptions'!E43</x:f>
        <x:v>0.57160900683788</x:v>
      </x:c>
      <x:c r="F11" s="78" t="n">
        <x:f>'Sources &amp; Assumptions'!F43</x:f>
        <x:v>0.5485342795571614</x:v>
      </x:c>
      <x:c r="G11" s="78" t="n">
        <x:f>'Sources &amp; Assumptions'!G43</x:f>
        <x:v>0.6185023117016938</x:v>
      </x:c>
      <x:c r="H11" s="45" t="n">
        <x:f>(H9-G9)/(H7-G7)</x:f>
        <x:v>0.5400404611440548</x:v>
      </x:c>
      <x:c r="I11" s="45" t="n">
        <x:f>(I9-H9)/(I7-H7)</x:f>
        <x:v>0.5700000000000001</x:v>
      </x:c>
      <x:c r="J11" s="45" t="n">
        <x:f>(J9-I9)/(J7-I7)</x:f>
        <x:v>0.5600000000000002</x:v>
      </x:c>
      <x:c r="K11" s="45" t="n">
        <x:f>(K9-J9)/(K7-J7)</x:f>
        <x:v>0.56</x:v>
      </x:c>
      <x:c r="L11" s="45" t="n">
        <x:f>(L9-K9)/(L7-K7)</x:f>
        <x:v>0.5599999999999998</x:v>
      </x:c>
      <x:c r="M11" s="17" t="str">
        <x:v>%</x:v>
      </x:c>
      <x:c r="N11" s="73" t="str">
        <x:v>Gross-profit change ÷ revenue change</x:v>
      </x:c>
      <x:c r="O11" s="73" t="str">
        <x:v>Tests the gross profit carried by added revenue.</x:v>
      </x:c>
    </x:row>
    <x:row r="12" ht="20" customHeight="1">
      <x:c r="A12" s="11" t="str">
        <x:v>Operating expenses and EBIT</x:v>
      </x:c>
      <x:c r="B12" s="75" t="str">
        <x:v>Operating expenses and EBIT</x:v>
      </x:c>
      <x:c r="C12" s="75" t="str">
        <x:v>Operating expenses and EBIT</x:v>
      </x:c>
      <x:c r="D12" s="75" t="str">
        <x:v>Operating expenses and EBIT</x:v>
      </x:c>
      <x:c r="E12" s="75" t="str">
        <x:v>Operating expenses and EBIT</x:v>
      </x:c>
      <x:c r="F12" s="75" t="str">
        <x:v>Operating expenses and EBIT</x:v>
      </x:c>
      <x:c r="G12" s="75" t="str">
        <x:v>Operating expenses and EBIT</x:v>
      </x:c>
      <x:c r="H12" s="75" t="str">
        <x:v>Operating expenses and EBIT</x:v>
      </x:c>
      <x:c r="I12" s="75" t="str">
        <x:v>Operating expenses and EBIT</x:v>
      </x:c>
      <x:c r="J12" s="75" t="str">
        <x:v>Operating expenses and EBIT</x:v>
      </x:c>
      <x:c r="K12" s="75" t="str">
        <x:v>Operating expenses and EBIT</x:v>
      </x:c>
      <x:c r="L12" s="75" t="str">
        <x:v>Operating expenses and EBIT</x:v>
      </x:c>
      <x:c r="M12" s="42" t="str">
        <x:v>Operating expenses and EBIT</x:v>
      </x:c>
      <x:c r="N12" s="42" t="str">
        <x:v>Operating expenses and EBIT</x:v>
      </x:c>
      <x:c r="O12" s="42" t="str">
        <x:v>Operating expenses and EBIT</x:v>
      </x:c>
    </x:row>
    <x:row r="13">
      <x:c r="A13" s="1" t="str">
        <x:v>Sales &amp; marketing</x:v>
      </x:c>
      <x:c r="B13" s="76" t="n">
        <x:f>'Sources &amp; Assumptions'!D19</x:f>
        <x:v>77.14</x:v>
      </x:c>
      <x:c r="C13" s="76" t="n">
        <x:f>'Sources &amp; Assumptions'!E19</x:f>
        <x:v>229.343</x:v>
      </x:c>
      <x:c r="D13" s="76" t="n">
        <x:f>'Sources &amp; Assumptions'!F19</x:f>
        <x:v>299.238</x:v>
      </x:c>
      <x:c r="E13" s="76" t="n">
        <x:f>'Sources &amp; Assumptions'!G19</x:f>
        <x:v>288.441</x:v>
      </x:c>
      <x:c r="F13" s="76" t="n">
        <x:f>'Sources &amp; Assumptions'!H19</x:f>
        <x:v>314.514</x:v>
      </x:c>
      <x:c r="G13" s="76" t="n">
        <x:f>'Sources &amp; Assumptions'!I19</x:f>
        <x:v>340.04</x:v>
      </x:c>
      <x:c r="H13" s="77" t="n">
        <x:f>'Sources &amp; Assumptions'!C63</x:f>
        <x:v>433.524</x:v>
      </x:c>
      <x:c r="I13" s="72" t="n">
        <x:f>H13+(I7-H7)*'Sources &amp; Assumptions'!D69</x:f>
        <x:v>499.5174</x:v>
      </x:c>
      <x:c r="J13" s="72" t="n">
        <x:f>I13+(J7-I7)*'Sources &amp; Assumptions'!E69</x:f>
        <x:v>571.711998</x:v>
      </x:c>
      <x:c r="K13" s="72" t="n">
        <x:f>J13+(K7-J7)*'Sources &amp; Assumptions'!F69</x:f>
        <x:v>648.1983486</x:v>
      </x:c>
      <x:c r="L13" s="72" t="n">
        <x:f>K13+(L7-K7)*'Sources &amp; Assumptions'!G69</x:f>
        <x:v>731.5523683644</x:v>
      </x:c>
      <x:c r="M13" s="17" t="str">
        <x:v>$m</x:v>
      </x:c>
      <x:c r="N13" s="73" t="str">
        <x:v>Prior S&amp;M + incremental S&amp;M ratio × revenue change</x:v>
      </x:c>
      <x:c r="O13" s="73" t="str">
        <x:v>Models the marginal commercial cost instead of forcing a target expense ratio.</x:v>
      </x:c>
    </x:row>
    <x:row r="14">
      <x:c r="A14" s="1" t="str">
        <x:v>S&amp;M / revenue</x:v>
      </x:c>
      <x:c r="B14" s="78" t="n">
        <x:f>'Sources &amp; Assumptions'!B45</x:f>
        <x:v>0.20955123329349126</x:v>
      </x:c>
      <x:c r="C14" s="78" t="n">
        <x:f>'Sources &amp; Assumptions'!C45</x:f>
        <x:v>0.5003796324982872</x:v>
      </x:c>
      <x:c r="D14" s="78" t="n">
        <x:f>'Sources &amp; Assumptions'!D45</x:f>
        <x:v>0.5063582876027352</x:v>
      </x:c>
      <x:c r="E14" s="78" t="n">
        <x:f>'Sources &amp; Assumptions'!E45</x:f>
        <x:v>0.3958170662926791</x:v>
      </x:c>
      <x:c r="F14" s="78" t="n">
        <x:f>'Sources &amp; Assumptions'!F45</x:f>
        <x:v>0.3127146399616606</x:v>
      </x:c>
      <x:c r="G14" s="78" t="n">
        <x:f>'Sources &amp; Assumptions'!G45</x:f>
        <x:v>0.2606333565320833</x:v>
      </x:c>
      <x:c r="H14" s="45" t="n">
        <x:f>H13/H7</x:f>
        <x:v>0.23846204620462047</x:v>
      </x:c>
      <x:c r="I14" s="45" t="n">
        <x:f>I13/I7</x:f>
        <x:v>0.2252147919710004</x:v>
      </x:c>
      <x:c r="J14" s="45" t="n">
        <x:f>J13/J7</x:f>
        <x:v>0.21302875369504162</x:v>
      </x:c>
      <x:c r="K14" s="45" t="n">
        <x:f>K13/K7</x:f>
        <x:v>0.20296533923953078</x:v>
      </x:c>
      <x:c r="L14" s="45" t="n">
        <x:f>L13/L7</x:f>
        <x:v>0.19412316884706</x:v>
      </x:c>
      <x:c r="M14" s="17" t="str">
        <x:v>%</x:v>
      </x:c>
      <x:c r="N14" s="73" t="str">
        <x:v>S&amp;M ÷ revenue</x:v>
      </x:c>
      <x:c r="O14" s="73" t="str">
        <x:v>Cumulative result of the incremental-cost method.</x:v>
      </x:c>
    </x:row>
    <x:row r="15">
      <x:c r="A15" s="1" t="str">
        <x:v>R&amp;D</x:v>
      </x:c>
      <x:c r="B15" s="76" t="n">
        <x:f>'Sources &amp; Assumptions'!D20</x:f>
        <x:v>31.772</x:v>
      </x:c>
      <x:c r="C15" s="76" t="n">
        <x:f>'Sources &amp; Assumptions'!E20</x:f>
        <x:v>64.474</x:v>
      </x:c>
      <x:c r="D15" s="76" t="n">
        <x:f>'Sources &amp; Assumptions'!F20</x:f>
        <x:v>69.454</x:v>
      </x:c>
      <x:c r="E15" s="76" t="n">
        <x:f>'Sources &amp; Assumptions'!G20</x:f>
        <x:v>73.869</x:v>
      </x:c>
      <x:c r="F15" s="76" t="n">
        <x:f>'Sources &amp; Assumptions'!H20</x:f>
        <x:v>90.679</x:v>
      </x:c>
      <x:c r="G15" s="76" t="n">
        <x:f>'Sources &amp; Assumptions'!I20</x:f>
        <x:v>117.173</x:v>
      </x:c>
      <x:c r="H15" s="77" t="n">
        <x:f>'Sources &amp; Assumptions'!C64</x:f>
        <x:v>178.72924999999998</x:v>
      </x:c>
      <x:c r="I15" s="72" t="n">
        <x:f>H15*(1+'Sources &amp; Assumptions'!D72)</x:f>
        <x:v>205.53863749999996</x:v>
      </x:c>
      <x:c r="J15" s="72" t="n">
        <x:f>I15*(1+'Sources &amp; Assumptions'!E72)</x:f>
        <x:v>248.70175137499996</x:v>
      </x:c>
      <x:c r="K15" s="72" t="n">
        <x:f>J15*(1+'Sources &amp; Assumptions'!F72)</x:f>
        <x:v>295.9550841362499</x:v>
      </x:c>
      <x:c r="L15" s="72" t="n">
        <x:f>K15*(1+'Sources &amp; Assumptions'!G72)</x:f>
        <x:v>349.22699928077486</x:v>
      </x:c>
      <x:c r="M15" s="17" t="str">
        <x:v>$m</x:v>
      </x:c>
      <x:c r="N15" s="73" t="str">
        <x:v>Prior R&amp;D × (1 + R&amp;D growth used)</x:v>
      </x:c>
      <x:c r="O15" s="73" t="str">
        <x:v>FY2027 is direct; FY2028 onward uses revenue-growth elasticity.</x:v>
      </x:c>
    </x:row>
    <x:row r="16">
      <x:c r="A16" s="1" t="str">
        <x:v>R&amp;D / revenue</x:v>
      </x:c>
      <x:c r="B16" s="78" t="n">
        <x:f>'Sources &amp; Assumptions'!B46</x:f>
        <x:v>0.08630881234380093</x:v>
      </x:c>
      <x:c r="C16" s="78" t="n">
        <x:f>'Sources &amp; Assumptions'!C46</x:f>
        <x:v>0.14066911318721118</x:v>
      </x:c>
      <x:c r="D16" s="78" t="n">
        <x:f>'Sources &amp; Assumptions'!D46</x:f>
        <x:v>0.11752721414780332</x:v>
      </x:c>
      <x:c r="E16" s="78" t="n">
        <x:f>'Sources &amp; Assumptions'!E46</x:f>
        <x:v>0.1013677350653129</x:v>
      </x:c>
      <x:c r="F16" s="78" t="n">
        <x:f>'Sources &amp; Assumptions'!F46</x:f>
        <x:v>0.0901602181050237</x:v>
      </x:c>
      <x:c r="G16" s="78" t="n">
        <x:f>'Sources &amp; Assumptions'!G46</x:f>
        <x:v>0.0898105878277079</x:v>
      </x:c>
      <x:c r="H16" s="45" t="n">
        <x:f>H15/H7</x:f>
        <x:v>0.09831091859185917</x:v>
      </x:c>
      <x:c r="I16" s="45" t="n">
        <x:f>I15/I7</x:f>
        <x:v>0.09267012818085085</x:v>
      </x:c>
      <x:c r="J16" s="45" t="n">
        <x:f>J15/J7</x:f>
        <x:v>0.09267012818085085</x:v>
      </x:c>
      <x:c r="K16" s="45" t="n">
        <x:f>K15/K7</x:f>
        <x:v>0.09267012818085084</x:v>
      </x:c>
      <x:c r="L16" s="45" t="n">
        <x:f>L15/L7</x:f>
        <x:v>0.09267012818085084</x:v>
      </x:c>
      <x:c r="M16" s="17" t="str">
        <x:v>%</x:v>
      </x:c>
      <x:c r="N16" s="73" t="str">
        <x:v>R&amp;D ÷ revenue</x:v>
      </x:c>
      <x:c r="O16" s="73" t="str">
        <x:v>Checks that Athena, integration and product maintenance remain funded.</x:v>
      </x:c>
    </x:row>
    <x:row r="17">
      <x:c r="A17" s="1" t="str">
        <x:v>G&amp;A</x:v>
      </x:c>
      <x:c r="B17" s="76" t="n">
        <x:f>'Sources &amp; Assumptions'!D21</x:f>
        <x:v>70.849</x:v>
      </x:c>
      <x:c r="C17" s="76" t="n">
        <x:f>'Sources &amp; Assumptions'!E21</x:f>
        <x:v>189.606</x:v>
      </x:c>
      <x:c r="D17" s="76" t="n">
        <x:f>'Sources &amp; Assumptions'!F21</x:f>
        <x:v>213.615</x:v>
      </x:c>
      <x:c r="E17" s="76" t="n">
        <x:f>'Sources &amp; Assumptions'!G21</x:f>
        <x:v>205.419</x:v>
      </x:c>
      <x:c r="F17" s="76" t="n">
        <x:f>'Sources &amp; Assumptions'!H21</x:f>
        <x:v>204.595</x:v>
      </x:c>
      <x:c r="G17" s="76" t="n">
        <x:f>'Sources &amp; Assumptions'!I21</x:f>
        <x:v>233.024</x:v>
      </x:c>
      <x:c r="H17" s="77" t="n">
        <x:f>'Sources &amp; Assumptions'!C65</x:f>
        <x:v>301.61</x:v>
      </x:c>
      <x:c r="I17" s="72" t="n">
        <x:f>H17*(1+'Sources &amp; Assumptions'!D76)</x:f>
        <x:v>337.80320000000006</x:v>
      </x:c>
      <x:c r="J17" s="72" t="n">
        <x:f>I17*(1+'Sources &amp; Assumptions'!E76)</x:f>
        <x:v>378.3395840000001</x:v>
      </x:c>
      <x:c r="K17" s="72" t="n">
        <x:f>J17*(1+'Sources &amp; Assumptions'!F76)</x:f>
        <x:v>421.47029657600007</x:v>
      </x:c>
      <x:c r="L17" s="72" t="n">
        <x:f>K17*(1+'Sources &amp; Assumptions'!G76)</x:f>
        <x:v>466.98908860620804</x:v>
      </x:c>
      <x:c r="M17" s="17" t="str">
        <x:v>$m</x:v>
      </x:c>
      <x:c r="N17" s="73" t="str">
        <x:v>Prior G&amp;A × (1 + G&amp;A growth used)</x:v>
      </x:c>
      <x:c r="O17" s="73" t="str">
        <x:v>FY2027 is direct; later growth reflects semi-fixed overhead and a 12% cap.</x:v>
      </x:c>
    </x:row>
    <x:row r="18">
      <x:c r="A18" s="1" t="str">
        <x:v>G&amp;A / revenue</x:v>
      </x:c>
      <x:c r="B18" s="78" t="n">
        <x:f>'Sources &amp; Assumptions'!B47</x:f>
        <x:v>0.1924616972726285</x:v>
      </x:c>
      <x:c r="C18" s="78" t="n">
        <x:f>'Sources &amp; Assumptions'!C47</x:f>
        <x:v>0.41368160615091915</x:v>
      </x:c>
      <x:c r="D18" s="78" t="n">
        <x:f>'Sources &amp; Assumptions'!D47</x:f>
        <x:v>0.36147055389441946</x:v>
      </x:c>
      <x:c r="E18" s="78" t="n">
        <x:f>'Sources &amp; Assumptions'!E47</x:f>
        <x:v>0.2818890030917098</x:v>
      </x:c>
      <x:c r="F18" s="78" t="n">
        <x:f>'Sources &amp; Assumptions'!F47</x:f>
        <x:v>0.2034244954531625</x:v>
      </x:c>
      <x:c r="G18" s="78" t="n">
        <x:f>'Sources &amp; Assumptions'!G47</x:f>
        <x:v>0.17860789104967703</x:v>
      </x:c>
      <x:c r="H18" s="45" t="n">
        <x:f>H17/H7</x:f>
        <x:v>0.1659020902090209</x:v>
      </x:c>
      <x:c r="I18" s="45" t="n">
        <x:f>I17/I7</x:f>
        <x:v>0.15230355822467495</x:v>
      </x:c>
      <x:c r="J18" s="45" t="n">
        <x:f>J17/J7</x:f>
        <x:v>0.1409751943897818</x:v>
      </x:c>
      <x:c r="K18" s="45" t="n">
        <x:f>K17/K7</x:f>
        <x:v>0.1319717365968209</x:v>
      </x:c>
      <x:c r="L18" s="45" t="n">
        <x:f>L17/L7</x:f>
        <x:v>0.12391922385531998</x:v>
      </x:c>
      <x:c r="M18" s="17" t="str">
        <x:v>%</x:v>
      </x:c>
      <x:c r="N18" s="73" t="str">
        <x:v>G&amp;A ÷ revenue</x:v>
      </x:c>
      <x:c r="O18" s="73" t="str">
        <x:v>Output check on overhead absorption.</x:v>
      </x:c>
    </x:row>
    <x:row r="19">
      <x:c r="A19" s="1" t="str">
        <x:v>Acquisition-related expense</x:v>
      </x:c>
      <x:c r="B19" s="76" t="n">
        <x:f>'Sources &amp; Assumptions'!D22</x:f>
        <x:v>5.402</x:v>
      </x:c>
      <x:c r="C19" s="76" t="n">
        <x:f>'Sources &amp; Assumptions'!E22</x:f>
        <x:v>1.953</x:v>
      </x:c>
      <x:c r="D19" s="76" t="n">
        <x:f>'Sources &amp; Assumptions'!F22</x:f>
        <x:v>0.344</x:v>
      </x:c>
      <x:c r="E19" s="76" t="n">
        <x:f>'Sources &amp; Assumptions'!G22</x:f>
        <x:v>0.203</x:v>
      </x:c>
      <x:c r="F19" s="76" t="n">
        <x:f>'Sources &amp; Assumptions'!H22</x:f>
        <x:v>8.229</x:v>
      </x:c>
      <x:c r="G19" s="76" t="n">
        <x:f>'Sources &amp; Assumptions'!I22</x:f>
        <x:v>20.281</x:v>
      </x:c>
      <x:c r="H19" s="77" t="n">
        <x:f>'Sources &amp; Assumptions'!C78</x:f>
        <x:v>1.666</x:v>
      </x:c>
      <x:c r="I19" s="77" t="n">
        <x:f>'Sources &amp; Assumptions'!D78</x:f>
        <x:v>0</x:v>
      </x:c>
      <x:c r="J19" s="77" t="n">
        <x:f>'Sources &amp; Assumptions'!E78</x:f>
        <x:v>0</x:v>
      </x:c>
      <x:c r="K19" s="77" t="n">
        <x:f>'Sources &amp; Assumptions'!F78</x:f>
        <x:v>0</x:v>
      </x:c>
      <x:c r="L19" s="77" t="n">
        <x:f>'Sources &amp; Assumptions'!G78</x:f>
        <x:v>0</x:v>
      </x:c>
      <x:c r="M19" s="17" t="str">
        <x:v>$m</x:v>
      </x:c>
      <x:c r="N19" s="73" t="str">
        <x:v>Link to detailed schedule</x:v>
      </x:c>
      <x:c r="O19" s="73" t="str">
        <x:v>No new transaction is assumed after FY2026.</x:v>
      </x:c>
    </x:row>
    <x:row r="20">
      <x:c r="A20" s="1" t="str">
        <x:v>Restructuring expense</x:v>
      </x:c>
      <x:c r="B20" s="76" t="n">
        <x:f>'Sources &amp; Assumptions'!D23</x:f>
        <x:v>2.09</x:v>
      </x:c>
      <x:c r="C20" s="76" t="n">
        <x:f>'Sources &amp; Assumptions'!E23</x:f>
        <x:v>0.727</x:v>
      </x:c>
      <x:c r="D20" s="76" t="n">
        <x:f>'Sources &amp; Assumptions'!F23</x:f>
        <x:v>0</x:v>
      </x:c>
      <x:c r="E20" s="76" t="n">
        <x:f>'Sources &amp; Assumptions'!G23</x:f>
        <x:v>2.845</x:v>
      </x:c>
      <x:c r="F20" s="76" t="n">
        <x:f>'Sources &amp; Assumptions'!H23</x:f>
        <x:v>0</x:v>
      </x:c>
      <x:c r="G20" s="76" t="n">
        <x:f>'Sources &amp; Assumptions'!I23</x:f>
        <x:v>3.152</x:v>
      </x:c>
      <x:c r="H20" s="77" t="n">
        <x:f>'Sources &amp; Assumptions'!C79</x:f>
        <x:v>6.752</x:v>
      </x:c>
      <x:c r="I20" s="77" t="n">
        <x:f>'Sources &amp; Assumptions'!D79</x:f>
        <x:v>0</x:v>
      </x:c>
      <x:c r="J20" s="77" t="n">
        <x:f>'Sources &amp; Assumptions'!E79</x:f>
        <x:v>0</x:v>
      </x:c>
      <x:c r="K20" s="77" t="n">
        <x:f>'Sources &amp; Assumptions'!F79</x:f>
        <x:v>0</x:v>
      </x:c>
      <x:c r="L20" s="77" t="n">
        <x:f>'Sources &amp; Assumptions'!G79</x:f>
        <x:v>0</x:v>
      </x:c>
      <x:c r="M20" s="17" t="str">
        <x:v>$m</x:v>
      </x:c>
      <x:c r="N20" s="73" t="str">
        <x:v>Link to detailed schedule</x:v>
      </x:c>
      <x:c r="O20" s="73" t="str">
        <x:v>No new programme is assumed after FY2026.</x:v>
      </x:c>
    </x:row>
    <x:row r="21">
      <x:c r="A21" s="1" t="str">
        <x:v>Pre-D&amp;A operating profit</x:v>
      </x:c>
      <x:c r="B21" s="76" t="n">
        <x:f>'Sources &amp; Assumptions'!D24</x:f>
        <x:v>31.988999999999976</x:v>
      </x:c>
      <x:c r="C21" s="76" t="n">
        <x:f>'Sources &amp; Assumptions'!E24</x:f>
        <x:v>-202.48499999999996</x:v>
      </x:c>
      <x:c r="D21" s="76" t="n">
        <x:f>'Sources &amp; Assumptions'!F24</x:f>
        <x:v>-207.15600000000006</x:v>
      </x:c>
      <x:c r="E21" s="76" t="n">
        <x:f>'Sources &amp; Assumptions'!G24</x:f>
        <x:v>-116.53599999999994</x:v>
      </x:c>
      <x:c r="F21" s="76" t="n">
        <x:f>'Sources &amp; Assumptions'!H24</x:f>
        <x:v>-11.815000000000055</x:v>
      </x:c>
      <x:c r="G21" s="76" t="n">
        <x:f>'Sources &amp; Assumptions'!I24</x:f>
        <x:v>77.41099999999994</x:v>
      </x:c>
      <x:c r="H21" s="72" t="n">
        <x:f>H9-H13-H15-H17-H19-H20</x:f>
        <x:v>146.01980000000003</x:v>
      </x:c>
      <x:c r="I21" s="72" t="n">
        <x:f>I9-I13-I15-I17-I19-I20</x:f>
        <x:v>253.41901250000012</x:v>
      </x:c>
      <x:c r="J21" s="72" t="n">
        <x:f>J9-J13-J15-J17-J19-J20</x:f>
        <x:v>358.3570126250001</x:v>
      </x:c>
      <x:c r="K21" s="72" t="n">
        <x:f>K9-K13-K15-K17-K19-K20</x:f>
        <x:v>477.03565892775026</x:v>
      </x:c>
      <x:c r="L21" s="72" t="n">
        <x:f>L9-L13-L15-L17-L19-L20</x:f>
        <x:v>616.809904871817</x:v>
      </x:c>
      <x:c r="M21" s="17" t="str">
        <x:v>$m</x:v>
      </x:c>
      <x:c r="N21" s="73" t="str">
        <x:v>Gross profit less functional expenses</x:v>
      </x:c>
      <x:c r="O21" s="73" t="str">
        <x:v>Separates operating-cost absorption from D&amp;A.</x:v>
      </x:c>
    </x:row>
    <x:row r="22">
      <x:c r="A22" s="1" t="str">
        <x:v>Pre-D&amp;A margin</x:v>
      </x:c>
      <x:c r="B22" s="78" t="n">
        <x:f>'Sources &amp; Assumptions'!B48</x:f>
        <x:v>0.08689829403455389</x:v>
      </x:c>
      <x:c r="C22" s="78" t="n">
        <x:f>'Sources &amp; Assumptions'!C48</x:f>
        <x:v>-0.44178095641208004</x:v>
      </x:c>
      <x:c r="D22" s="78" t="n">
        <x:f>'Sources &amp; Assumptions'!D48</x:f>
        <x:v>-0.35054089863798127</x:v>
      </x:c>
      <x:c r="E22" s="78" t="n">
        <x:f>'Sources &amp; Assumptions'!E48</x:f>
        <x:v>-0.15991810331223244</x:v>
      </x:c>
      <x:c r="F22" s="78" t="n">
        <x:f>'Sources &amp; Assumptions'!F48</x:f>
        <x:v>-0.011747405429160664</x:v>
      </x:c>
      <x:c r="G22" s="78" t="n">
        <x:f>'Sources &amp; Assumptions'!G48</x:f>
        <x:v>0.05933386884632715</x:v>
      </x:c>
      <x:c r="H22" s="45" t="n">
        <x:f>H21/H7</x:f>
        <x:v>0.08031892189218924</x:v>
      </x:c>
      <x:c r="I22" s="45" t="n">
        <x:f>I21/I7</x:f>
        <x:v>0.11425770189723895</x:v>
      </x:c>
      <x:c r="J22" s="45" t="n">
        <x:f>J21/J7</x:f>
        <x:v>0.13352937850603244</x:v>
      </x:c>
      <x:c r="K22" s="45" t="n">
        <x:f>K21/K7</x:f>
        <x:v>0.1493704890682653</x:v>
      </x:c>
      <x:c r="L22" s="45" t="n">
        <x:f>L21/L7</x:f>
        <x:v>0.16367535461292834</x:v>
      </x:c>
      <x:c r="M22" s="17" t="str">
        <x:v>%</x:v>
      </x:c>
      <x:c r="N22" s="73" t="str">
        <x:v>Pre-D&amp;A profit ÷ revenue</x:v>
      </x:c>
      <x:c r="O22" s="73" t="str">
        <x:v>Operating leverage before asset-vintage D&amp;A.</x:v>
      </x:c>
    </x:row>
    <x:row r="23">
      <x:c r="A23" s="1" t="str">
        <x:v>D&amp;A</x:v>
      </x:c>
      <x:c r="B23" s="76" t="n">
        <x:f>'Sources &amp; Assumptions'!D25</x:f>
        <x:v>40.064</x:v>
      </x:c>
      <x:c r="C23" s="76" t="n">
        <x:f>'Sources &amp; Assumptions'!E25</x:f>
        <x:v>45.922</x:v>
      </x:c>
      <x:c r="D23" s="76" t="n">
        <x:f>'Sources &amp; Assumptions'!F25</x:f>
        <x:v>51.878</x:v>
      </x:c>
      <x:c r="E23" s="76" t="n">
        <x:f>'Sources &amp; Assumptions'!G25</x:f>
        <x:v>51.149</x:v>
      </x:c>
      <x:c r="F23" s="76" t="n">
        <x:f>'Sources &amp; Assumptions'!H25</x:f>
        <x:v>56.1</x:v>
      </x:c>
      <x:c r="G23" s="76" t="n">
        <x:f>'Sources &amp; Assumptions'!I25</x:f>
        <x:v>72.039</x:v>
      </x:c>
      <x:c r="H23" s="77" t="n">
        <x:f>'Sources &amp; Assumptions'!C80</x:f>
        <x:v>91.80856666666666</x:v>
      </x:c>
      <x:c r="I23" s="77" t="n">
        <x:f>'Sources &amp; Assumptions'!D80</x:f>
        <x:v>85.01976133333332</x:v>
      </x:c>
      <x:c r="J23" s="77" t="n">
        <x:f>'Sources &amp; Assumptions'!E80</x:f>
        <x:v>76.26328757333334</x:v>
      </x:c>
      <x:c r="K23" s="77" t="n">
        <x:f>'Sources &amp; Assumptions'!F80</x:f>
        <x:v>73.35274501290667</x:v>
      </x:c>
      <x:c r="L23" s="77" t="n">
        <x:f>'Sources &amp; Assumptions'!G80</x:f>
        <x:v>74.57791652615595</x:v>
      </x:c>
      <x:c r="M23" s="17" t="str">
        <x:v>$m</x:v>
      </x:c>
      <x:c r="N23" s="73" t="str">
        <x:v>Link to asset-vintage schedule</x:v>
      </x:c>
      <x:c r="O23" s="73" t="str">
        <x:v>Includes replacement investment and acquisition amortisation.</x:v>
      </x:c>
    </x:row>
    <x:row r="24">
      <x:c r="A24" s="1" t="str">
        <x:v>Forecast GAAP EBIT</x:v>
      </x:c>
      <x:c r="B24" s="76" t="n">
        <x:f>'Sources &amp; Assumptions'!D26</x:f>
        <x:v>-8.075</x:v>
      </x:c>
      <x:c r="C24" s="76" t="n">
        <x:f>'Sources &amp; Assumptions'!E26</x:f>
        <x:v>-248.407</x:v>
      </x:c>
      <x:c r="D24" s="76" t="n">
        <x:f>'Sources &amp; Assumptions'!F26</x:f>
        <x:v>-259.034</x:v>
      </x:c>
      <x:c r="E24" s="76" t="n">
        <x:f>'Sources &amp; Assumptions'!G26</x:f>
        <x:v>-167.685</x:v>
      </x:c>
      <x:c r="F24" s="76" t="n">
        <x:f>'Sources &amp; Assumptions'!H26</x:f>
        <x:v>-67.915</x:v>
      </x:c>
      <x:c r="G24" s="76" t="n">
        <x:f>'Sources &amp; Assumptions'!I26</x:f>
        <x:v>5.372</x:v>
      </x:c>
      <x:c r="H24" s="72" t="n">
        <x:f>H21-H23</x:f>
        <x:v>54.21123333333337</x:v>
      </x:c>
      <x:c r="I24" s="72" t="n">
        <x:f>I21-I23</x:f>
        <x:v>168.3992511666668</x:v>
      </x:c>
      <x:c r="J24" s="72" t="n">
        <x:f>J21-J23</x:f>
        <x:v>282.09372505166675</x:v>
      </x:c>
      <x:c r="K24" s="72" t="n">
        <x:f>K21-K23</x:f>
        <x:v>403.6829139148436</x:v>
      </x:c>
      <x:c r="L24" s="72" t="n">
        <x:f>L21-L23</x:f>
        <x:v>542.2319883456611</x:v>
      </x:c>
      <x:c r="M24" s="17" t="str">
        <x:v>$m</x:v>
      </x:c>
      <x:c r="N24" s="73" t="str">
        <x:v>Pre-D&amp;A profit − D&amp;A</x:v>
      </x:c>
      <x:c r="O24" s="73" t="str">
        <x:v>Acquisition amortisation remains included.</x:v>
      </x:c>
    </x:row>
    <x:row r="25">
      <x:c r="A25" s="1" t="str">
        <x:v>Forecast GAAP EBIT margin</x:v>
      </x:c>
      <x:c r="B25" s="78" t="n">
        <x:f>'Sources &amp; Assumptions'!B49</x:f>
        <x:v>-0.021935781810279255</x:v>
      </x:c>
      <x:c r="C25" s="78" t="n">
        <x:f>'Sources &amp; Assumptions'!C49</x:f>
        <x:v>-0.5419733908163844</x:v>
      </x:c>
      <x:c r="D25" s="78" t="n">
        <x:f>'Sources &amp; Assumptions'!D49</x:f>
        <x:v>-0.4383267254522718</x:v>
      </x:c>
      <x:c r="E25" s="78" t="n">
        <x:f>'Sources &amp; Assumptions'!E49</x:f>
        <x:v>-0.23010801086283816</x:v>
      </x:c>
      <x:c r="F25" s="78" t="n">
        <x:f>'Sources &amp; Assumptions'!F49</x:f>
        <x:v>-0.06752645279064265</x:v>
      </x:c>
      <x:c r="G25" s="78" t="n">
        <x:f>'Sources &amp; Assumptions'!G49</x:f>
        <x:v>0.004117522618781177</x:v>
      </x:c>
      <x:c r="H25" s="45" t="n">
        <x:f>H24/H7</x:f>
        <x:v>0.02981916024935829</x:v>
      </x:c>
      <x:c r="I25" s="45" t="n">
        <x:f>I24/I7</x:f>
        <x:v>0.07592528772686018</x:v>
      </x:c>
      <x:c r="J25" s="45" t="n">
        <x:f>J24/J7</x:f>
        <x:v>0.10511249524791032</x:v>
      </x:c>
      <x:c r="K25" s="45" t="n">
        <x:f>K24/K7</x:f>
        <x:v>0.12640211093547443</x:v>
      </x:c>
      <x:c r="L25" s="45" t="n">
        <x:f>L24/L7</x:f>
        <x:v>0.1438855184943779</x:v>
      </x:c>
      <x:c r="M25" s="17" t="str">
        <x:v>%</x:v>
      </x:c>
      <x:c r="N25" s="73" t="str">
        <x:v>Forecast GAAP EBIT ÷ revenue</x:v>
      </x:c>
      <x:c r="O25" s="73" t="str">
        <x:v>Primary operating-profit measure used for FCFF.</x:v>
      </x:c>
    </x:row>
    <x:row r="26">
      <x:c r="A26" s="1" t="str">
        <x:v>Acquisition-expense adjustment</x:v>
      </x:c>
      <x:c r="B26" s="76" t="n">
        <x:f>'Sources &amp; Assumptions'!D27</x:f>
        <x:v>0</x:v>
      </x:c>
      <x:c r="C26" s="76" t="n">
        <x:f>'Sources &amp; Assumptions'!E27</x:f>
        <x:v>0</x:v>
      </x:c>
      <x:c r="D26" s="76" t="n">
        <x:f>'Sources &amp; Assumptions'!F27</x:f>
        <x:v>0</x:v>
      </x:c>
      <x:c r="E26" s="76" t="n">
        <x:f>'Sources &amp; Assumptions'!G27</x:f>
        <x:v>0</x:v>
      </x:c>
      <x:c r="F26" s="76" t="n">
        <x:f>'Sources &amp; Assumptions'!H27</x:f>
        <x:v>0</x:v>
      </x:c>
      <x:c r="G26" s="76" t="n">
        <x:f>'Sources &amp; Assumptions'!I27</x:f>
        <x:v>0</x:v>
      </x:c>
      <x:c r="H26" s="77" t="n">
        <x:f>'Sources &amp; Assumptions'!C81</x:f>
        <x:v>1.666</x:v>
      </x:c>
      <x:c r="I26" s="77" t="n">
        <x:f>'Sources &amp; Assumptions'!D81</x:f>
        <x:v>0</x:v>
      </x:c>
      <x:c r="J26" s="77" t="n">
        <x:f>'Sources &amp; Assumptions'!E81</x:f>
        <x:v>0</x:v>
      </x:c>
      <x:c r="K26" s="77" t="n">
        <x:f>'Sources &amp; Assumptions'!F81</x:f>
        <x:v>0</x:v>
      </x:c>
      <x:c r="L26" s="77" t="n">
        <x:f>'Sources &amp; Assumptions'!G81</x:f>
        <x:v>0</x:v>
      </x:c>
      <x:c r="M26" s="17" t="str">
        <x:v>$m</x:v>
      </x:c>
      <x:c r="N26" s="73" t="str">
        <x:v>Link to approved adjustment</x:v>
      </x:c>
      <x:c r="O26" s="73" t="str">
        <x:v>Only directly transaction-related expense is adjusted.</x:v>
      </x:c>
    </x:row>
    <x:row r="27">
      <x:c r="A27" s="1" t="str">
        <x:v>Acquisition-amortisation adjustment</x:v>
      </x:c>
      <x:c r="B27" s="76" t="n">
        <x:f>'Sources &amp; Assumptions'!D28</x:f>
        <x:v>15.572</x:v>
      </x:c>
      <x:c r="C27" s="76" t="n">
        <x:f>'Sources &amp; Assumptions'!E28</x:f>
        <x:v>18.063</x:v>
      </x:c>
      <x:c r="D27" s="76" t="n">
        <x:f>'Sources &amp; Assumptions'!F28</x:f>
        <x:v>17.602</x:v>
      </x:c>
      <x:c r="E27" s="76" t="n">
        <x:f>'Sources &amp; Assumptions'!G28</x:f>
        <x:v>11.134</x:v>
      </x:c>
      <x:c r="F27" s="76" t="n">
        <x:f>'Sources &amp; Assumptions'!H28</x:f>
        <x:v>13.287</x:v>
      </x:c>
      <x:c r="G27" s="76" t="n">
        <x:f>'Sources &amp; Assumptions'!I28</x:f>
        <x:v>31.418</x:v>
      </x:c>
      <x:c r="H27" s="77" t="n">
        <x:f>'Sources &amp; Assumptions'!C82</x:f>
        <x:v>51.544</x:v>
      </x:c>
      <x:c r="I27" s="77" t="n">
        <x:f>'Sources &amp; Assumptions'!D82</x:f>
        <x:v>44.175</x:v>
      </x:c>
      <x:c r="J27" s="77" t="n">
        <x:f>'Sources &amp; Assumptions'!E82</x:f>
        <x:v>34.771</x:v>
      </x:c>
      <x:c r="K27" s="77" t="n">
        <x:f>'Sources &amp; Assumptions'!F82</x:f>
        <x:v>25.951</x:v>
      </x:c>
      <x:c r="L27" s="77" t="n">
        <x:f>'Sources &amp; Assumptions'!G82</x:f>
        <x:v>22.171</x:v>
      </x:c>
      <x:c r="M27" s="17" t="str">
        <x:v>$m</x:v>
      </x:c>
      <x:c r="N27" s="73" t="str">
        <x:v>Link to amortisation schedule</x:v>
      </x:c>
      <x:c r="O27" s="73" t="str">
        <x:v>Added back because it allocates past purchase price, not because it is one-off.</x:v>
      </x:c>
    </x:row>
    <x:row r="28">
      <x:c r="A28" s="1" t="str">
        <x:v>Analyst-adjusted EBIT</x:v>
      </x:c>
      <x:c r="B28" s="76" t="n">
        <x:f>'Sources &amp; Assumptions'!B50</x:f>
        <x:v>7.497</x:v>
      </x:c>
      <x:c r="C28" s="76" t="n">
        <x:f>'Sources &amp; Assumptions'!C50</x:f>
        <x:v>-230.34400000000002</x:v>
      </x:c>
      <x:c r="D28" s="76" t="n">
        <x:f>'Sources &amp; Assumptions'!D50</x:f>
        <x:v>-241.432</x:v>
      </x:c>
      <x:c r="E28" s="76" t="n">
        <x:f>'Sources &amp; Assumptions'!E50</x:f>
        <x:v>-156.551</x:v>
      </x:c>
      <x:c r="F28" s="76" t="n">
        <x:f>'Sources &amp; Assumptions'!F50</x:f>
        <x:v>-54.62800000000001</x:v>
      </x:c>
      <x:c r="G28" s="76" t="n">
        <x:f>'Sources &amp; Assumptions'!G50</x:f>
        <x:v>36.79</x:v>
      </x:c>
      <x:c r="H28" s="72" t="n">
        <x:f>H24+H26+H27</x:f>
        <x:v>107.42123333333336</x:v>
      </x:c>
      <x:c r="I28" s="72" t="n">
        <x:f>I24+I26+I27</x:f>
        <x:v>212.57425116666678</x:v>
      </x:c>
      <x:c r="J28" s="72" t="n">
        <x:f>J24+J26+J27</x:f>
        <x:v>316.86472505166677</x:v>
      </x:c>
      <x:c r="K28" s="72" t="n">
        <x:f>K24+K26+K27</x:f>
        <x:v>429.6339139148436</x:v>
      </x:c>
      <x:c r="L28" s="72" t="n">
        <x:f>L24+L26+L27</x:f>
        <x:v>564.4029883456611</x:v>
      </x:c>
      <x:c r="M28" s="17" t="str">
        <x:v>$m</x:v>
      </x:c>
      <x:c r="N28" s="73" t="str">
        <x:v>Forecast GAAP EBIT + approved adjustments</x:v>
      </x:c>
      <x:c r="O28" s="73" t="str">
        <x:v>SBC and operating-asset D&amp;A remain continuing operating burdens.</x:v>
      </x:c>
    </x:row>
    <x:row r="29">
      <x:c r="A29" s="1" t="str">
        <x:v>Analyst-adjusted EBIT margin</x:v>
      </x:c>
      <x:c r="B29" s="78" t="n">
        <x:f>'Sources &amp; Assumptions'!B51</x:f>
        <x:v>0.02036564163859611</x:v>
      </x:c>
      <x:c r="C29" s="78" t="n">
        <x:f>'Sources &amp; Assumptions'!C51</x:f>
        <x:v>-0.5025636102614228</x:v>
      </x:c>
      <x:c r="D29" s="78" t="n">
        <x:f>'Sources &amp; Assumptions'!D51</x:f>
        <x:v>-0.40854134198365033</x:v>
      </x:c>
      <x:c r="E29" s="78" t="n">
        <x:f>'Sources &amp; Assumptions'!E51</x:f>
        <x:v>-0.2148292286643896</x:v>
      </x:c>
      <x:c r="F29" s="78" t="n">
        <x:f>'Sources &amp; Assumptions'!F51</x:f>
        <x:v>-0.05431546879256757</x:v>
      </x:c>
      <x:c r="G29" s="78" t="n">
        <x:f>'Sources &amp; Assumptions'!G51</x:f>
        <x:v>0.028198744814772803</x:v>
      </x:c>
      <x:c r="H29" s="45" t="n">
        <x:f>H28/H7</x:f>
        <x:v>0.05908758709204255</x:v>
      </x:c>
      <x:c r="I29" s="45" t="n">
        <x:f>I28/I7</x:f>
        <x:v>0.09584223843832476</x:v>
      </x:c>
      <x:c r="J29" s="45" t="n">
        <x:f>J28/J7</x:f>
        <x:v>0.11806870890206261</x:v>
      </x:c>
      <x:c r="K29" s="45" t="n">
        <x:f>K28/K7</x:f>
        <x:v>0.13452794700090293</x:v>
      </x:c>
      <x:c r="L29" s="45" t="n">
        <x:f>L28/L7</x:f>
        <x:v>0.14976876754479218</x:v>
      </x:c>
      <x:c r="M29" s="17" t="str">
        <x:v>%</x:v>
      </x:c>
      <x:c r="N29" s="73" t="str">
        <x:v>Analyst-adjusted EBIT ÷ revenue</x:v>
      </x:c>
      <x:c r="O29" s="73" t="str">
        <x:v>Comparison metric; not the FCFF starting point.</x:v>
      </x:c>
    </x:row>
    <x:row r="30" ht="20" customHeight="1">
      <x:c r="A30" s="11" t="str">
        <x:v>Tax, investment and FCFF</x:v>
      </x:c>
      <x:c r="B30" s="75" t="str">
        <x:v>Tax, investment and FCFF</x:v>
      </x:c>
      <x:c r="C30" s="75" t="str">
        <x:v>Tax, investment and FCFF</x:v>
      </x:c>
      <x:c r="D30" s="75" t="str">
        <x:v>Tax, investment and FCFF</x:v>
      </x:c>
      <x:c r="E30" s="75" t="str">
        <x:v>Tax, investment and FCFF</x:v>
      </x:c>
      <x:c r="F30" s="75" t="str">
        <x:v>Tax, investment and FCFF</x:v>
      </x:c>
      <x:c r="G30" s="75" t="str">
        <x:v>Tax, investment and FCFF</x:v>
      </x:c>
      <x:c r="H30" s="75" t="str">
        <x:v>Tax, investment and FCFF</x:v>
      </x:c>
      <x:c r="I30" s="75" t="str">
        <x:v>Tax, investment and FCFF</x:v>
      </x:c>
      <x:c r="J30" s="75" t="str">
        <x:v>Tax, investment and FCFF</x:v>
      </x:c>
      <x:c r="K30" s="75" t="str">
        <x:v>Tax, investment and FCFF</x:v>
      </x:c>
      <x:c r="L30" s="75" t="str">
        <x:v>Tax, investment and FCFF</x:v>
      </x:c>
      <x:c r="M30" s="42" t="str">
        <x:v>Tax, investment and FCFF</x:v>
      </x:c>
      <x:c r="N30" s="42" t="str">
        <x:v>Tax, investment and FCFF</x:v>
      </x:c>
      <x:c r="O30" s="42" t="str">
        <x:v>Tax, investment and FCFF</x:v>
      </x:c>
    </x:row>
    <x:row r="31">
      <x:c r="A31" s="1" t="str">
        <x:v>ETR on EBIT</x:v>
      </x:c>
      <x:c r="B31" s="78" t="n">
        <x:f>'Sources &amp; Assumptions'!D29</x:f>
        <x:v>0</x:v>
      </x:c>
      <x:c r="C31" s="78" t="n">
        <x:f>'Sources &amp; Assumptions'!E29</x:f>
        <x:v>0</x:v>
      </x:c>
      <x:c r="D31" s="78" t="n">
        <x:f>'Sources &amp; Assumptions'!F29</x:f>
        <x:v>0</x:v>
      </x:c>
      <x:c r="E31" s="78" t="n">
        <x:f>'Sources &amp; Assumptions'!G29</x:f>
        <x:v>0</x:v>
      </x:c>
      <x:c r="F31" s="78" t="n">
        <x:f>'Sources &amp; Assumptions'!H29</x:f>
        <x:v>0</x:v>
      </x:c>
      <x:c r="G31" s="78" t="n">
        <x:f>'Sources &amp; Assumptions'!I29</x:f>
        <x:v>0</x:v>
      </x:c>
      <x:c r="H31" s="79" t="n">
        <x:f>'Sources &amp; Assumptions'!C83</x:f>
        <x:v>0</x:v>
      </x:c>
      <x:c r="I31" s="79" t="n">
        <x:f>'Sources &amp; Assumptions'!D83</x:f>
        <x:v>0.03392031402470694</x:v>
      </x:c>
      <x:c r="J31" s="79" t="n">
        <x:f>'Sources &amp; Assumptions'!E83</x:f>
        <x:v>0.17705749438887453</x:v>
      </x:c>
      <x:c r="K31" s="79" t="n">
        <x:f>'Sources &amp; Assumptions'!F83</x:f>
        <x:v>0.25</x:v>
      </x:c>
      <x:c r="L31" s="79" t="n">
        <x:f>'Sources &amp; Assumptions'!G83</x:f>
        <x:v>0.25</x:v>
      </x:c>
      <x:c r="M31" s="17" t="str">
        <x:v>%</x:v>
      </x:c>
      <x:c r="N31" s="73" t="str">
        <x:v>Link to NOL and tax schedule</x:v>
      </x:c>
      <x:c r="O31" s="73" t="str">
        <x:v>Excludes the interest tax shield from unlevered FCFF.</x:v>
      </x:c>
    </x:row>
    <x:row r="32">
      <x:c r="A32" s="1" t="str">
        <x:v>NOPAT</x:v>
      </x:c>
      <x:c r="B32" s="76" t="n">
        <x:f>'Sources &amp; Assumptions'!D30</x:f>
        <x:v>0</x:v>
      </x:c>
      <x:c r="C32" s="76" t="n">
        <x:f>'Sources &amp; Assumptions'!E30</x:f>
        <x:v>0</x:v>
      </x:c>
      <x:c r="D32" s="76" t="n">
        <x:f>'Sources &amp; Assumptions'!F30</x:f>
        <x:v>0</x:v>
      </x:c>
      <x:c r="E32" s="76" t="n">
        <x:f>'Sources &amp; Assumptions'!G30</x:f>
        <x:v>0</x:v>
      </x:c>
      <x:c r="F32" s="76" t="n">
        <x:f>'Sources &amp; Assumptions'!H30</x:f>
        <x:v>0</x:v>
      </x:c>
      <x:c r="G32" s="76" t="n">
        <x:f>'Sources &amp; Assumptions'!I30</x:f>
        <x:v>0</x:v>
      </x:c>
      <x:c r="H32" s="72" t="n">
        <x:f>H24*(1-H31)</x:f>
        <x:v>54.21123333333337</x:v>
      </x:c>
      <x:c r="I32" s="72" t="n">
        <x:f>I24*(1-I31)</x:f>
        <x:v>162.68709568556795</x:v>
      </x:c>
      <x:c r="J32" s="72" t="n">
        <x:f>J24*(1-J31)</x:f>
        <x:v>232.14691691119455</x:v>
      </x:c>
      <x:c r="K32" s="72" t="n">
        <x:f>K24*(1-K31)</x:f>
        <x:v>302.7621854361327</x:v>
      </x:c>
      <x:c r="L32" s="72" t="n">
        <x:f>L24*(1-L31)</x:f>
        <x:v>406.6739912592458</x:v>
      </x:c>
      <x:c r="M32" s="17" t="str">
        <x:v>$m</x:v>
      </x:c>
      <x:c r="N32" s="73" t="str">
        <x:v>Forecast GAAP EBIT × (1 − ETR)</x:v>
      </x:c>
      <x:c r="O32" s="73" t="str">
        <x:v>Unlevered after-tax operating profit.</x:v>
      </x:c>
    </x:row>
    <x:row r="33">
      <x:c r="A33" s="1" t="str">
        <x:v>Operating fixed investment</x:v>
      </x:c>
      <x:c r="B33" s="76" t="n">
        <x:f>'Sources &amp; Assumptions'!D31</x:f>
        <x:v>25.207</x:v>
      </x:c>
      <x:c r="C33" s="76" t="n">
        <x:f>'Sources &amp; Assumptions'!E31</x:f>
        <x:v>26.756</x:v>
      </x:c>
      <x:c r="D33" s="76" t="n">
        <x:f>'Sources &amp; Assumptions'!F31</x:f>
        <x:v>39.236</x:v>
      </x:c>
      <x:c r="E33" s="76" t="n">
        <x:f>'Sources &amp; Assumptions'!G31</x:f>
        <x:v>35.97</x:v>
      </x:c>
      <x:c r="F33" s="76" t="n">
        <x:f>'Sources &amp; Assumptions'!H31</x:f>
        <x:v>41.767</x:v>
      </x:c>
      <x:c r="G33" s="76" t="n">
        <x:f>'Sources &amp; Assumptions'!I31</x:f>
        <x:v>33.908</x:v>
      </x:c>
      <x:c r="H33" s="77" t="n">
        <x:f>'Sources &amp; Assumptions'!C84</x:f>
        <x:v>40.21</x:v>
      </x:c>
      <x:c r="I33" s="77" t="n">
        <x:f>'Sources &amp; Assumptions'!D84</x:f>
        <x:v>43.917680000000004</x:v>
      </x:c>
      <x:c r="J33" s="77" t="n">
        <x:f>'Sources &amp; Assumptions'!E84</x:f>
        <x:v>47.97106240000001</x:v>
      </x:c>
      <x:c r="K33" s="77" t="n">
        <x:f>'Sources &amp; Assumptions'!F84</x:f>
        <x:v>52.181129702400014</x:v>
      </x:c>
      <x:c r="L33" s="77" t="n">
        <x:f>'Sources &amp; Assumptions'!G84</x:f>
        <x:v>56.5235233513728</x:v>
      </x:c>
      <x:c r="M33" s="17" t="str">
        <x:v>$m</x:v>
      </x:c>
      <x:c r="N33" s="73" t="str">
        <x:v>Link to investment schedule</x:v>
      </x:c>
      <x:c r="O33" s="73" t="str">
        <x:v>Cash equipment/data and software investment.</x:v>
      </x:c>
    </x:row>
    <x:row r="34">
      <x:c r="A34" s="1" t="str">
        <x:v>Investment in working capital</x:v>
      </x:c>
      <x:c r="B34" s="76" t="n">
        <x:f>'Sources &amp; Assumptions'!D32</x:f>
        <x:v>-15.782000000000004</x:v>
      </x:c>
      <x:c r="C34" s="76" t="n">
        <x:f>'Sources &amp; Assumptions'!E32</x:f>
        <x:v>3.308999999999998</x:v>
      </x:c>
      <x:c r="D34" s="76" t="n">
        <x:f>'Sources &amp; Assumptions'!F32</x:f>
        <x:v>1.3449999999999998</x:v>
      </x:c>
      <x:c r="E34" s="76" t="n">
        <x:f>'Sources &amp; Assumptions'!G32</x:f>
        <x:v>23.236000000000008</x:v>
      </x:c>
      <x:c r="F34" s="76" t="n">
        <x:f>'Sources &amp; Assumptions'!H32</x:f>
        <x:v>37.742999999999995</x:v>
      </x:c>
      <x:c r="G34" s="76" t="n">
        <x:f>'Sources &amp; Assumptions'!I32</x:f>
        <x:v>53.836999999999996</x:v>
      </x:c>
      <x:c r="H34" s="77" t="n">
        <x:f>'Sources &amp; Assumptions'!C85</x:f>
        <x:v>52.77852904109585</x:v>
      </x:c>
      <x:c r="I34" s="77" t="n">
        <x:f>'Sources &amp; Assumptions'!D85</x:f>
        <x:v>31.980363287671196</x:v>
      </x:c>
      <x:c r="J34" s="77" t="n">
        <x:f>'Sources &amp; Assumptions'!E85</x:f>
        <x:v>36.96184765479455</x:v>
      </x:c>
      <x:c r="K34" s="77" t="n">
        <x:f>'Sources &amp; Assumptions'!F85</x:f>
        <x:v>40.46442274208226</x:v>
      </x:c>
      <x:c r="L34" s="77" t="n">
        <x:f>'Sources &amp; Assumptions'!G85</x:f>
        <x:v>45.61831237554736</x:v>
      </x:c>
      <x:c r="M34" s="17" t="str">
        <x:v>$m</x:v>
      </x:c>
      <x:c r="N34" s="73" t="str">
        <x:v>Link to WC schedule</x:v>
      </x:c>
      <x:c r="O34" s="73" t="str">
        <x:v>Ending operating WC less opening operating WC.</x:v>
      </x:c>
    </x:row>
    <x:row r="35">
      <x:c r="A35" s="1" t="str">
        <x:v>FCFF</x:v>
      </x:c>
      <x:c r="B35" s="76" t="n">
        <x:f>'Sources &amp; Assumptions'!D33</x:f>
        <x:v>0</x:v>
      </x:c>
      <x:c r="C35" s="76" t="n">
        <x:f>'Sources &amp; Assumptions'!E33</x:f>
        <x:v>0</x:v>
      </x:c>
      <x:c r="D35" s="76" t="n">
        <x:f>'Sources &amp; Assumptions'!F33</x:f>
        <x:v>0</x:v>
      </x:c>
      <x:c r="E35" s="76" t="n">
        <x:f>'Sources &amp; Assumptions'!G33</x:f>
        <x:v>0</x:v>
      </x:c>
      <x:c r="F35" s="76" t="n">
        <x:f>'Sources &amp; Assumptions'!H33</x:f>
        <x:v>0</x:v>
      </x:c>
      <x:c r="G35" s="76" t="n">
        <x:f>'Sources &amp; Assumptions'!I33</x:f>
        <x:v>0</x:v>
      </x:c>
      <x:c r="H35" s="72" t="n">
        <x:f>H32+H23-H33-H34</x:f>
        <x:v>53.03127095890417</x:v>
      </x:c>
      <x:c r="I35" s="72" t="n">
        <x:f>I32+I23-I33-I34</x:f>
        <x:v>171.8088137312301</x:v>
      </x:c>
      <x:c r="J35" s="72" t="n">
        <x:f>J32+J23-J33-J34</x:f>
        <x:v>223.47729442973332</x:v>
      </x:c>
      <x:c r="K35" s="72" t="n">
        <x:f>K32+K23-K33-K34</x:f>
        <x:v>283.4693780045571</x:v>
      </x:c>
      <x:c r="L35" s="72" t="n">
        <x:f>L32+L23-L33-L34</x:f>
        <x:v>379.1100720584816</x:v>
      </x:c>
      <x:c r="M35" s="17" t="str">
        <x:v>$m</x:v>
      </x:c>
      <x:c r="N35" s="73" t="str">
        <x:v>NOPAT + D&amp;A − investment − change in WC</x:v>
      </x:c>
      <x:c r="O35" s="73" t="str">
        <x:v>SBC remains inside functional expenses and is not added back.</x:v>
      </x:c>
    </x:row>
    <x:row r="36">
      <x:c r="A36" s="1" t="str">
        <x:v>FCFF margin</x:v>
      </x:c>
      <x:c r="B36" s="78" t="n">
        <x:f>'Sources &amp; Assumptions'!B54</x:f>
        <x:v>0</x:v>
      </x:c>
      <x:c r="C36" s="78" t="n">
        <x:f>'Sources &amp; Assumptions'!C54</x:f>
        <x:v>0</x:v>
      </x:c>
      <x:c r="D36" s="78" t="n">
        <x:f>'Sources &amp; Assumptions'!D54</x:f>
        <x:v>0</x:v>
      </x:c>
      <x:c r="E36" s="78" t="n">
        <x:f>'Sources &amp; Assumptions'!E54</x:f>
        <x:v>0</x:v>
      </x:c>
      <x:c r="F36" s="78" t="n">
        <x:f>'Sources &amp; Assumptions'!F54</x:f>
        <x:v>0</x:v>
      </x:c>
      <x:c r="G36" s="78" t="n">
        <x:f>'Sources &amp; Assumptions'!G54</x:f>
        <x:v>0</x:v>
      </x:c>
      <x:c r="H36" s="45" t="n">
        <x:f>H35/H7</x:f>
        <x:v>0.029170116039001194</x:v>
      </x:c>
      <x:c r="I36" s="45" t="n">
        <x:f>I35/I7</x:f>
        <x:v>0.07746253932948749</x:v>
      </x:c>
      <x:c r="J36" s="45" t="n">
        <x:f>J35/J7</x:f>
        <x:v>0.08327110446876779</x:v>
      </x:c>
      <x:c r="K36" s="45" t="n">
        <x:f>K35/K7</x:f>
        <x:v>0.08876057551670491</x:v>
      </x:c>
      <x:c r="L36" s="45" t="n">
        <x:f>L35/L7</x:f>
        <x:v>0.10059983633758277</x:v>
      </x:c>
      <x:c r="M36" s="17" t="str">
        <x:v>%</x:v>
      </x:c>
      <x:c r="N36" s="73" t="str">
        <x:v>FCFF ÷ revenue</x:v>
      </x:c>
      <x:c r="O36" s="73" t="str">
        <x:v>Output, not a preset margin target.</x:v>
      </x:c>
    </x:row>
    <x:row r="37">
      <x:c r="A37" s="1" t="str">
        <x:v>SBC expense</x:v>
      </x:c>
      <x:c r="B37" s="76" t="n">
        <x:f>'Sources &amp; Assumptions'!D34</x:f>
        <x:v>0.105</x:v>
      </x:c>
      <x:c r="C37" s="76" t="n">
        <x:f>'Sources &amp; Assumptions'!E34</x:f>
        <x:v>259.159</x:v>
      </x:c>
      <x:c r="D37" s="76" t="n">
        <x:f>'Sources &amp; Assumptions'!F34</x:f>
        <x:v>298.992</x:v>
      </x:c>
      <x:c r="E37" s="76" t="n">
        <x:f>'Sources &amp; Assumptions'!G34</x:f>
        <x:v>242.881</x:v>
      </x:c>
      <x:c r="F37" s="76" t="n">
        <x:f>'Sources &amp; Assumptions'!H34</x:f>
        <x:v>194.984</x:v>
      </x:c>
      <x:c r="G37" s="76" t="n">
        <x:f>'Sources &amp; Assumptions'!I34</x:f>
        <x:v>177.821</x:v>
      </x:c>
      <x:c r="H37" s="77" t="n">
        <x:f>'Sources &amp; Assumptions'!C86</x:f>
        <x:v>202.97228</x:v>
      </x:c>
      <x:c r="I37" s="77" t="n">
        <x:f>'Sources &amp; Assumptions'!D86</x:f>
        <x:v>161.901</x:v>
      </x:c>
      <x:c r="J37" s="77" t="n">
        <x:f>'Sources &amp; Assumptions'!E86</x:f>
        <x:v>186.10312537673224</x:v>
      </x:c>
      <x:c r="K37" s="77" t="n">
        <x:f>'Sources &amp; Assumptions'!F86</x:f>
        <x:v>212.00929085060972</x:v>
      </x:c>
      <x:c r="L37" s="77" t="n">
        <x:f>'Sources &amp; Assumptions'!G86</x:f>
        <x:v>240.28675378689843</x:v>
      </x:c>
      <x:c r="M37" s="17" t="str">
        <x:v>$m</x:v>
      </x:c>
      <x:c r="N37" s="73" t="str">
        <x:v>Link to award / intensity schedule</x:v>
      </x:c>
      <x:c r="O37" s="73" t="str">
        <x:v>Retained as an economic cost.</x:v>
      </x:c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</x:sheetData>
  <x:mergeCells>
    <x:mergeCell ref="A1:O2"/>
    <x:mergeCell ref="A3:O3"/>
    <x:mergeCell ref="A6:O6"/>
    <x:mergeCell ref="A12:O12"/>
    <x:mergeCell ref="A30:O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4" customHeight="1">
      <x:c r="A1" s="4" t="str">
        <x:v>Operating Drivers</x:v>
      </x:c>
      <x:c r="B1" s="4" t="str">
        <x:v>Operating Drivers</x:v>
      </x:c>
      <x:c r="C1" s="4" t="str">
        <x:v>Operating Drivers</x:v>
      </x:c>
      <x:c r="D1" s="4" t="str">
        <x:v>Operating Drivers</x:v>
      </x:c>
      <x:c r="E1" s="4" t="str">
        <x:v>Operating Drivers</x:v>
      </x:c>
      <x:c r="F1" s="4" t="str">
        <x:v>Operating Drivers</x:v>
      </x:c>
      <x:c r="G1" s="4" t="str">
        <x:v>Operating Drivers</x:v>
      </x:c>
      <x:c r="H1" s="4" t="str">
        <x:v>Operating Drivers</x:v>
      </x:c>
      <x:c r="I1" s="4" t="str">
        <x:v>Operating Drivers</x:v>
      </x:c>
      <x:c r="J1" s="4" t="str">
        <x:v>Operating Drivers</x:v>
      </x:c>
      <x:c r="K1" s="4" t="str">
        <x:v>Operating Drivers</x:v>
      </x:c>
      <x:c r="L1" s="4" t="str">
        <x:v>Operating Drivers</x:v>
      </x:c>
      <x:c r="M1" s="4" t="str">
        <x:v>Operating Drivers</x:v>
      </x:c>
      <x:c r="N1" s="4" t="str">
        <x:v>Operating Drivers</x:v>
      </x:c>
      <x:c r="O1" s="1"/>
    </x:row>
    <x:row r="2" ht="24" customHeight="1">
      <x:c r="A2" s="4" t="str">
        <x:v>Operating Drivers</x:v>
      </x:c>
      <x:c r="B2" s="4" t="str">
        <x:v>Operating Drivers</x:v>
      </x:c>
      <x:c r="C2" s="4" t="str">
        <x:v>Operating Drivers</x:v>
      </x:c>
      <x:c r="D2" s="4" t="str">
        <x:v>Operating Drivers</x:v>
      </x:c>
      <x:c r="E2" s="4" t="str">
        <x:v>Operating Drivers</x:v>
      </x:c>
      <x:c r="F2" s="4" t="str">
        <x:v>Operating Drivers</x:v>
      </x:c>
      <x:c r="G2" s="4" t="str">
        <x:v>Operating Drivers</x:v>
      </x:c>
      <x:c r="H2" s="4" t="str">
        <x:v>Operating Drivers</x:v>
      </x:c>
      <x:c r="I2" s="4" t="str">
        <x:v>Operating Drivers</x:v>
      </x:c>
      <x:c r="J2" s="4" t="str">
        <x:v>Operating Drivers</x:v>
      </x:c>
      <x:c r="K2" s="4" t="str">
        <x:v>Operating Drivers</x:v>
      </x:c>
      <x:c r="L2" s="4" t="str">
        <x:v>Operating Drivers</x:v>
      </x:c>
      <x:c r="M2" s="4" t="str">
        <x:v>Operating Drivers</x:v>
      </x:c>
      <x:c r="N2" s="4" t="str">
        <x:v>Operating Drivers</x:v>
      </x:c>
      <x:c r="O2" s="1"/>
    </x:row>
    <x:row r="3">
      <x:c r="A3" s="8" t="str">
        <x:v>All values link to Forecast. The table shows the operating assumptions that determine whether revenue growth becomes cash flow.</x:v>
      </x:c>
      <x:c r="B3" s="8" t="str">
        <x:v>All values link to Forecast. The table shows the operating assumptions that determine whether revenue growth becomes cash flow.</x:v>
      </x:c>
      <x:c r="C3" s="8" t="str">
        <x:v>All values link to Forecast. The table shows the operating assumptions that determine whether revenue growth becomes cash flow.</x:v>
      </x:c>
      <x:c r="D3" s="8" t="str">
        <x:v>All values link to Forecast. The table shows the operating assumptions that determine whether revenue growth becomes cash flow.</x:v>
      </x:c>
      <x:c r="E3" s="8" t="str">
        <x:v>All values link to Forecast. The table shows the operating assumptions that determine whether revenue growth becomes cash flow.</x:v>
      </x:c>
      <x:c r="F3" s="8" t="str">
        <x:v>All values link to Forecast. The table shows the operating assumptions that determine whether revenue growth becomes cash flow.</x:v>
      </x:c>
      <x:c r="G3" s="8" t="str">
        <x:v>All values link to Forecast. The table shows the operating assumptions that determine whether revenue growth becomes cash flow.</x:v>
      </x:c>
      <x:c r="H3" s="8" t="str">
        <x:v>All values link to Forecast. The table shows the operating assumptions that determine whether revenue growth becomes cash flow.</x:v>
      </x:c>
      <x:c r="I3" s="8" t="str">
        <x:v>All values link to Forecast. The table shows the operating assumptions that determine whether revenue growth becomes cash flow.</x:v>
      </x:c>
      <x:c r="J3" s="8" t="str">
        <x:v>All values link to Forecast. The table shows the operating assumptions that determine whether revenue growth becomes cash flow.</x:v>
      </x:c>
      <x:c r="K3" s="8" t="str">
        <x:v>All values link to Forecast. The table shows the operating assumptions that determine whether revenue growth becomes cash flow.</x:v>
      </x:c>
      <x:c r="L3" s="8" t="str">
        <x:v>All values link to Forecast. The table shows the operating assumptions that determine whether revenue growth becomes cash flow.</x:v>
      </x:c>
      <x:c r="M3" s="8" t="str">
        <x:v>All values link to Forecast. The table shows the operating assumptions that determine whether revenue growth becomes cash flow.</x:v>
      </x:c>
      <x:c r="N3" s="8" t="str">
        <x:v>All values link to Forecast. The table shows the operating assumptions that determine whether revenue growth becomes cash flow.</x:v>
      </x:c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0" customHeight="1">
      <x:c r="A5" s="11" t="str">
        <x:v>Historical and Base trends</x:v>
      </x:c>
      <x:c r="B5" s="11" t="str">
        <x:v>Historical and Base trends</x:v>
      </x:c>
      <x:c r="C5" s="11" t="str">
        <x:v>Historical and Base trends</x:v>
      </x:c>
      <x:c r="D5" s="11" t="str">
        <x:v>Historical and Base trends</x:v>
      </x:c>
      <x:c r="E5" s="11" t="str">
        <x:v>Historical and Base trends</x:v>
      </x:c>
      <x:c r="F5" s="11" t="str">
        <x:v>Historical and Base trends</x:v>
      </x:c>
      <x:c r="G5" s="11" t="str">
        <x:v>Historical and Base trends</x:v>
      </x:c>
      <x:c r="H5" s="11" t="str">
        <x:v>Historical and Base trends</x:v>
      </x:c>
      <x:c r="I5" s="11" t="str">
        <x:v>Historical and Base trends</x:v>
      </x:c>
      <x:c r="J5" s="11" t="str">
        <x:v>Historical and Base trends</x:v>
      </x:c>
      <x:c r="K5" s="11" t="str">
        <x:v>Historical and Base trends</x:v>
      </x:c>
      <x:c r="L5" s="11" t="str">
        <x:v>Historical and Base trends</x:v>
      </x:c>
      <x:c r="M5" s="1"/>
      <x:c r="N5" s="1"/>
      <x:c r="O5" s="1"/>
    </x:row>
    <x:row r="6">
      <x:c r="A6" s="16" t="str">
        <x:v>Metric</x:v>
      </x:c>
      <x:c r="B6" s="16" t="str">
        <x:v>FY2020A</x:v>
      </x:c>
      <x:c r="C6" s="16" t="str">
        <x:v>FY2021A</x:v>
      </x:c>
      <x:c r="D6" s="16" t="str">
        <x:v>FY2022A</x:v>
      </x:c>
      <x:c r="E6" s="16" t="str">
        <x:v>FY2023A</x:v>
      </x:c>
      <x:c r="F6" s="16" t="str">
        <x:v>FY2024A</x:v>
      </x:c>
      <x:c r="G6" s="16" t="str">
        <x:v>FY2025A</x:v>
      </x:c>
      <x:c r="H6" s="16" t="str">
        <x:v>FY2026E</x:v>
      </x:c>
      <x:c r="I6" s="16" t="str">
        <x:v>FY2027E</x:v>
      </x:c>
      <x:c r="J6" s="16" t="str">
        <x:v>FY2028E</x:v>
      </x:c>
      <x:c r="K6" s="16" t="str">
        <x:v>FY2029E</x:v>
      </x:c>
      <x:c r="L6" s="16" t="str">
        <x:v>FY2030E</x:v>
      </x:c>
      <x:c r="M6" s="1"/>
      <x:c r="N6" s="1"/>
      <x:c r="O6" s="1"/>
    </x:row>
    <x:row r="7">
      <x:c r="A7" s="17" t="str">
        <x:v>Revenue</x:v>
      </x:c>
      <x:c r="B7" s="33" t="n">
        <x:f>Forecast!B7</x:f>
        <x:v>368.12</x:v>
      </x:c>
      <x:c r="C7" s="33" t="n">
        <x:f>Forecast!C7</x:f>
        <x:v>458.338</x:v>
      </x:c>
      <x:c r="D7" s="33" t="n">
        <x:f>Forecast!D7</x:f>
        <x:v>590.961</x:v>
      </x:c>
      <x:c r="E7" s="33" t="n">
        <x:f>Forecast!E7</x:f>
        <x:v>728.723</x:v>
      </x:c>
      <x:c r="F7" s="33" t="n">
        <x:f>Forecast!F7</x:f>
        <x:v>1005.754</x:v>
      </x:c>
      <x:c r="G7" s="33" t="n">
        <x:f>Forecast!G7</x:f>
        <x:v>1304.668</x:v>
      </x:c>
      <x:c r="H7" s="33" t="n">
        <x:f>Forecast!H7</x:f>
        <x:v>1818</x:v>
      </x:c>
      <x:c r="I7" s="33" t="n">
        <x:f>Forecast!I7</x:f>
        <x:v>2217.96</x:v>
      </x:c>
      <x:c r="J7" s="33" t="n">
        <x:f>Forecast!J7</x:f>
        <x:v>2683.7316</x:v>
      </x:c>
      <x:c r="K7" s="33" t="n">
        <x:f>Forecast!K7</x:f>
        <x:v>3193.640604</x:v>
      </x:c>
      <x:c r="L7" s="33" t="n">
        <x:f>Forecast!L7</x:f>
        <x:v>3768.49591272</x:v>
      </x:c>
      <x:c r="M7" s="1"/>
      <x:c r="N7" s="1"/>
      <x:c r="O7" s="1"/>
    </x:row>
    <x:row r="8">
      <x:c r="A8" s="17" t="str">
        <x:v>Revenue growth</x:v>
      </x:c>
      <x:c r="B8" s="32" t="n">
        <x:f>Forecast!B8</x:f>
        <x:v>0.20280606826966752</x:v>
      </x:c>
      <x:c r="C8" s="32" t="n">
        <x:f>Forecast!C8</x:f>
        <x:v>0.24507769205693797</x:v>
      </x:c>
      <x:c r="D8" s="32" t="n">
        <x:f>Forecast!D8</x:f>
        <x:v>0.289356326553766</x:v>
      </x:c>
      <x:c r="E8" s="32" t="n">
        <x:f>Forecast!E8</x:f>
        <x:v>0.23311521403273638</x:v>
      </x:c>
      <x:c r="F8" s="32" t="n">
        <x:f>Forecast!F8</x:f>
        <x:v>0.3801595393585766</x:v>
      </x:c>
      <x:c r="G8" s="32" t="n">
        <x:f>Forecast!G8</x:f>
        <x:v>0.2972038888237083</x:v>
      </x:c>
      <x:c r="H8" s="32" t="n">
        <x:f>Forecast!H8</x:f>
        <x:v>0.3934579525212545</x:v>
      </x:c>
      <x:c r="I8" s="32" t="n">
        <x:f>Forecast!I8</x:f>
        <x:v>0.21999999999999997</x:v>
      </x:c>
      <x:c r="J8" s="32" t="n">
        <x:f>Forecast!J8</x:f>
        <x:v>0.20999999999999996</x:v>
      </x:c>
      <x:c r="K8" s="32" t="n">
        <x:f>Forecast!K8</x:f>
        <x:v>0.18999999999999995</x:v>
      </x:c>
      <x:c r="L8" s="32" t="n">
        <x:f>Forecast!L8</x:f>
        <x:v>0.17999999999999994</x:v>
      </x:c>
      <x:c r="M8" s="1"/>
      <x:c r="N8" s="1"/>
      <x:c r="O8" s="1"/>
    </x:row>
    <x:row r="9">
      <x:c r="A9" s="17" t="str">
        <x:v>Gross margin</x:v>
      </x:c>
      <x:c r="B9" s="32" t="n">
        <x:f>Forecast!B10</x:f>
        <x:v>0.595572096055634</x:v>
      </x:c>
      <x:c r="C9" s="32" t="n">
        <x:f>Forecast!C10</x:f>
        <x:v>0.6187966086163486</x:v>
      </x:c>
      <x:c r="D9" s="32" t="n">
        <x:f>Forecast!D10</x:f>
        <x:v>0.6353972597176464</x:v>
      </x:c>
      <x:c r="E9" s="32" t="n">
        <x:f>Forecast!E10</x:f>
        <x:v>0.6233383603920831</x:v>
      </x:c>
      <x:c r="F9" s="32" t="n">
        <x:f>Forecast!F10</x:f>
        <x:v>0.602733869315956</x:v>
      </x:c>
      <x:c r="G9" s="32" t="n">
        <x:f>Forecast!G10</x:f>
        <x:v>0.6063465954557022</x:v>
      </x:c>
      <x:c r="H9" s="32" t="n">
        <x:f>Forecast!H10</x:f>
        <x:v>0.5876243399339934</x:v>
      </x:c>
      <x:c r="I9" s="32" t="n">
        <x:f>Forecast!I10</x:f>
        <x:v>0.5844461802737652</x:v>
      </x:c>
      <x:c r="J9" s="32" t="n">
        <x:f>Forecast!J10</x:f>
        <x:v>0.5802034547717068</x:v>
      </x:c>
      <x:c r="K9" s="32" t="n">
        <x:f>Forecast!K10</x:f>
        <x:v>0.5769776930854679</x:v>
      </x:c>
      <x:c r="L9" s="32" t="n">
        <x:f>Forecast!L10</x:f>
        <x:v>0.5743878754961591</x:v>
      </x:c>
      <x:c r="M9" s="1"/>
      <x:c r="N9" s="1"/>
      <x:c r="O9" s="1"/>
    </x:row>
    <x:row r="10">
      <x:c r="A10" s="17" t="str">
        <x:v>Incremental gross margin</x:v>
      </x:c>
      <x:c r="B10" s="32" t="n">
        <x:f>Forecast!B11</x:f>
        <x:v>0.3798353445359195</x:v>
      </x:c>
      <x:c r="C10" s="32" t="n">
        <x:f>Forecast!C11</x:f>
        <x:v>0.7135604868208117</x:v>
      </x:c>
      <x:c r="D10" s="32" t="n">
        <x:f>Forecast!D11</x:f>
        <x:v>0.6927682227064689</x:v>
      </x:c>
      <x:c r="E10" s="32" t="n">
        <x:f>Forecast!E11</x:f>
        <x:v>0.57160900683788</x:v>
      </x:c>
      <x:c r="F10" s="32" t="n">
        <x:f>Forecast!F11</x:f>
        <x:v>0.5485342795571614</x:v>
      </x:c>
      <x:c r="G10" s="32" t="n">
        <x:f>Forecast!G11</x:f>
        <x:v>0.6185023117016938</x:v>
      </x:c>
      <x:c r="H10" s="32" t="n">
        <x:f>Forecast!H11</x:f>
        <x:v>0.5400404611440548</x:v>
      </x:c>
      <x:c r="I10" s="32" t="n">
        <x:f>Forecast!I11</x:f>
        <x:v>0.5700000000000001</x:v>
      </x:c>
      <x:c r="J10" s="32" t="n">
        <x:f>Forecast!J11</x:f>
        <x:v>0.5600000000000002</x:v>
      </x:c>
      <x:c r="K10" s="32" t="n">
        <x:f>Forecast!K11</x:f>
        <x:v>0.56</x:v>
      </x:c>
      <x:c r="L10" s="32" t="n">
        <x:f>Forecast!L11</x:f>
        <x:v>0.5599999999999998</x:v>
      </x:c>
      <x:c r="M10" s="1"/>
      <x:c r="N10" s="1"/>
      <x:c r="O10" s="1"/>
    </x:row>
    <x:row r="11">
      <x:c r="A11" s="17" t="str">
        <x:v>Incremental S&amp;M cost ratio</x:v>
      </x:c>
      <x:c r="B11" s="32" t="n">
        <x:f>(Forecast!B13-'Sources &amp; Assumptions'!C19)/(Forecast!B7-'Sources &amp; Assumptions'!C16)</x:f>
        <x:v>0.12278270956516124</x:v>
      </x:c>
      <x:c r="C11" s="32" t="n">
        <x:f>(Forecast!C13-'Sources &amp; Assumptions'!D19)/(Forecast!C7-'Sources &amp; Assumptions'!D16)</x:f>
        <x:v>1.6870580150302594</x:v>
      </x:c>
      <x:c r="D11" s="32" t="n">
        <x:f>(Forecast!D13-'Sources &amp; Assumptions'!E19)/(Forecast!D7-'Sources &amp; Assumptions'!E16)</x:f>
        <x:v>0.5270202001161187</x:v>
      </x:c>
      <x:c r="E11" s="32" t="n">
        <x:f>(Forecast!E13-'Sources &amp; Assumptions'!F19)/(Forecast!E7-'Sources &amp; Assumptions'!F16)</x:f>
        <x:v>-0.07837429770183381</x:v>
      </x:c>
      <x:c r="F11" s="32" t="n">
        <x:f>(Forecast!F13-'Sources &amp; Assumptions'!G19)/(Forecast!F7-'Sources &amp; Assumptions'!G16)</x:f>
        <x:v>0.0941158209731042</x:v>
      </x:c>
      <x:c r="G11" s="32" t="n">
        <x:f>(Forecast!G13-'Sources &amp; Assumptions'!H19)/(Forecast!G7-'Sources &amp; Assumptions'!H16)</x:f>
        <x:v>0.08539579946071453</x:v>
      </x:c>
      <x:c r="H11" s="32" t="n">
        <x:f>(Forecast!H13-Forecast!G13)/(Forecast!H7-Forecast!G7)</x:f>
        <x:v>0.1821121613302891</x:v>
      </x:c>
      <x:c r="I11" s="32" t="n">
        <x:f>(Forecast!I13-Forecast!H13)/(Forecast!I7-Forecast!H7)</x:f>
        <x:v>0.165</x:v>
      </x:c>
      <x:c r="J11" s="32" t="n">
        <x:f>(Forecast!J13-Forecast!I13)/(Forecast!J7-Forecast!I7)</x:f>
        <x:v>0.15499999999999994</x:v>
      </x:c>
      <x:c r="K11" s="32" t="n">
        <x:f>(Forecast!K13-Forecast!J13)/(Forecast!K7-Forecast!J7)</x:f>
        <x:v>0.15000000000000005</x:v>
      </x:c>
      <x:c r="L11" s="32" t="n">
        <x:f>(Forecast!L13-Forecast!K13)/(Forecast!L7-Forecast!K7)</x:f>
        <x:v>0.14499999999999993</x:v>
      </x:c>
      <x:c r="M11" s="1"/>
      <x:c r="N11" s="1"/>
      <x:c r="O11" s="1"/>
    </x:row>
    <x:row r="12">
      <x:c r="A12" s="17" t="str">
        <x:v>S&amp;M / revenue</x:v>
      </x:c>
      <x:c r="B12" s="32" t="n">
        <x:f>Forecast!B14</x:f>
        <x:v>0.20955123329349126</x:v>
      </x:c>
      <x:c r="C12" s="32" t="n">
        <x:f>Forecast!C14</x:f>
        <x:v>0.5003796324982872</x:v>
      </x:c>
      <x:c r="D12" s="32" t="n">
        <x:f>Forecast!D14</x:f>
        <x:v>0.5063582876027352</x:v>
      </x:c>
      <x:c r="E12" s="32" t="n">
        <x:f>Forecast!E14</x:f>
        <x:v>0.3958170662926791</x:v>
      </x:c>
      <x:c r="F12" s="32" t="n">
        <x:f>Forecast!F14</x:f>
        <x:v>0.3127146399616606</x:v>
      </x:c>
      <x:c r="G12" s="32" t="n">
        <x:f>Forecast!G14</x:f>
        <x:v>0.2606333565320833</x:v>
      </x:c>
      <x:c r="H12" s="32" t="n">
        <x:f>Forecast!H14</x:f>
        <x:v>0.23846204620462047</x:v>
      </x:c>
      <x:c r="I12" s="32" t="n">
        <x:f>Forecast!I14</x:f>
        <x:v>0.2252147919710004</x:v>
      </x:c>
      <x:c r="J12" s="32" t="n">
        <x:f>Forecast!J14</x:f>
        <x:v>0.21302875369504162</x:v>
      </x:c>
      <x:c r="K12" s="32" t="n">
        <x:f>Forecast!K14</x:f>
        <x:v>0.20296533923953078</x:v>
      </x:c>
      <x:c r="L12" s="32" t="n">
        <x:f>Forecast!L14</x:f>
        <x:v>0.19412316884706</x:v>
      </x:c>
      <x:c r="M12" s="1"/>
      <x:c r="N12" s="1"/>
      <x:c r="O12" s="1"/>
    </x:row>
    <x:row r="13">
      <x:c r="A13" s="17" t="str">
        <x:v>R&amp;D / revenue</x:v>
      </x:c>
      <x:c r="B13" s="32" t="n">
        <x:f>Forecast!B16</x:f>
        <x:v>0.08630881234380093</x:v>
      </x:c>
      <x:c r="C13" s="32" t="n">
        <x:f>Forecast!C16</x:f>
        <x:v>0.14066911318721118</x:v>
      </x:c>
      <x:c r="D13" s="32" t="n">
        <x:f>Forecast!D16</x:f>
        <x:v>0.11752721414780332</x:v>
      </x:c>
      <x:c r="E13" s="32" t="n">
        <x:f>Forecast!E16</x:f>
        <x:v>0.1013677350653129</x:v>
      </x:c>
      <x:c r="F13" s="32" t="n">
        <x:f>Forecast!F16</x:f>
        <x:v>0.0901602181050237</x:v>
      </x:c>
      <x:c r="G13" s="32" t="n">
        <x:f>Forecast!G16</x:f>
        <x:v>0.0898105878277079</x:v>
      </x:c>
      <x:c r="H13" s="32" t="n">
        <x:f>Forecast!H16</x:f>
        <x:v>0.09831091859185917</x:v>
      </x:c>
      <x:c r="I13" s="32" t="n">
        <x:f>Forecast!I16</x:f>
        <x:v>0.09267012818085085</x:v>
      </x:c>
      <x:c r="J13" s="32" t="n">
        <x:f>Forecast!J16</x:f>
        <x:v>0.09267012818085085</x:v>
      </x:c>
      <x:c r="K13" s="32" t="n">
        <x:f>Forecast!K16</x:f>
        <x:v>0.09267012818085084</x:v>
      </x:c>
      <x:c r="L13" s="32" t="n">
        <x:f>Forecast!L16</x:f>
        <x:v>0.09267012818085084</x:v>
      </x:c>
      <x:c r="M13" s="1"/>
      <x:c r="N13" s="1"/>
      <x:c r="O13" s="1"/>
    </x:row>
    <x:row r="14">
      <x:c r="A14" s="17" t="str">
        <x:v>G&amp;A / revenue</x:v>
      </x:c>
      <x:c r="B14" s="32" t="n">
        <x:f>Forecast!B18</x:f>
        <x:v>0.1924616972726285</x:v>
      </x:c>
      <x:c r="C14" s="32" t="n">
        <x:f>Forecast!C18</x:f>
        <x:v>0.41368160615091915</x:v>
      </x:c>
      <x:c r="D14" s="32" t="n">
        <x:f>Forecast!D18</x:f>
        <x:v>0.36147055389441946</x:v>
      </x:c>
      <x:c r="E14" s="32" t="n">
        <x:f>Forecast!E18</x:f>
        <x:v>0.2818890030917098</x:v>
      </x:c>
      <x:c r="F14" s="32" t="n">
        <x:f>Forecast!F18</x:f>
        <x:v>0.2034244954531625</x:v>
      </x:c>
      <x:c r="G14" s="32" t="n">
        <x:f>Forecast!G18</x:f>
        <x:v>0.17860789104967703</x:v>
      </x:c>
      <x:c r="H14" s="32" t="n">
        <x:f>Forecast!H18</x:f>
        <x:v>0.1659020902090209</x:v>
      </x:c>
      <x:c r="I14" s="32" t="n">
        <x:f>Forecast!I18</x:f>
        <x:v>0.15230355822467495</x:v>
      </x:c>
      <x:c r="J14" s="32" t="n">
        <x:f>Forecast!J18</x:f>
        <x:v>0.1409751943897818</x:v>
      </x:c>
      <x:c r="K14" s="32" t="n">
        <x:f>Forecast!K18</x:f>
        <x:v>0.1319717365968209</x:v>
      </x:c>
      <x:c r="L14" s="32" t="n">
        <x:f>Forecast!L18</x:f>
        <x:v>0.12391922385531998</x:v>
      </x:c>
      <x:c r="M14" s="1"/>
      <x:c r="N14" s="1"/>
      <x:c r="O14" s="1"/>
    </x:row>
    <x:row r="15">
      <x:c r="A15" s="17" t="str">
        <x:v>Forecast GAAP EBIT margin</x:v>
      </x:c>
      <x:c r="B15" s="32" t="n">
        <x:f>Forecast!B25</x:f>
        <x:v>-0.021935781810279255</x:v>
      </x:c>
      <x:c r="C15" s="32" t="n">
        <x:f>Forecast!C25</x:f>
        <x:v>-0.5419733908163844</x:v>
      </x:c>
      <x:c r="D15" s="32" t="n">
        <x:f>Forecast!D25</x:f>
        <x:v>-0.4383267254522718</x:v>
      </x:c>
      <x:c r="E15" s="32" t="n">
        <x:f>Forecast!E25</x:f>
        <x:v>-0.23010801086283816</x:v>
      </x:c>
      <x:c r="F15" s="32" t="n">
        <x:f>Forecast!F25</x:f>
        <x:v>-0.06752645279064265</x:v>
      </x:c>
      <x:c r="G15" s="32" t="n">
        <x:f>Forecast!G25</x:f>
        <x:v>0.004117522618781177</x:v>
      </x:c>
      <x:c r="H15" s="32" t="n">
        <x:f>Forecast!H25</x:f>
        <x:v>0.02981916024935829</x:v>
      </x:c>
      <x:c r="I15" s="32" t="n">
        <x:f>Forecast!I25</x:f>
        <x:v>0.07592528772686018</x:v>
      </x:c>
      <x:c r="J15" s="32" t="n">
        <x:f>Forecast!J25</x:f>
        <x:v>0.10511249524791032</x:v>
      </x:c>
      <x:c r="K15" s="32" t="n">
        <x:f>Forecast!K25</x:f>
        <x:v>0.12640211093547443</x:v>
      </x:c>
      <x:c r="L15" s="32" t="n">
        <x:f>Forecast!L25</x:f>
        <x:v>0.1438855184943779</x:v>
      </x:c>
      <x:c r="M15" s="1"/>
      <x:c r="N15" s="1"/>
      <x:c r="O15" s="1"/>
    </x:row>
    <x:row r="16">
      <x:c r="A16" s="17" t="str">
        <x:v>FCFF margin</x:v>
      </x:c>
      <x:c r="B16" s="32" t="n">
        <x:f>Forecast!B36</x:f>
        <x:v>0</x:v>
      </x:c>
      <x:c r="C16" s="32" t="n">
        <x:f>Forecast!C36</x:f>
        <x:v>0</x:v>
      </x:c>
      <x:c r="D16" s="32" t="n">
        <x:f>Forecast!D36</x:f>
        <x:v>0</x:v>
      </x:c>
      <x:c r="E16" s="32" t="n">
        <x:f>Forecast!E36</x:f>
        <x:v>0</x:v>
      </x:c>
      <x:c r="F16" s="32" t="n">
        <x:f>Forecast!F36</x:f>
        <x:v>0</x:v>
      </x:c>
      <x:c r="G16" s="32" t="n">
        <x:f>Forecast!G36</x:f>
        <x:v>0</x:v>
      </x:c>
      <x:c r="H16" s="32" t="n">
        <x:f>Forecast!H36</x:f>
        <x:v>0.029170116039001194</x:v>
      </x:c>
      <x:c r="I16" s="32" t="n">
        <x:f>Forecast!I36</x:f>
        <x:v>0.07746253932948749</x:v>
      </x:c>
      <x:c r="J16" s="32" t="n">
        <x:f>Forecast!J36</x:f>
        <x:v>0.08327110446876779</x:v>
      </x:c>
      <x:c r="K16" s="32" t="n">
        <x:f>Forecast!K36</x:f>
        <x:v>0.08876057551670491</x:v>
      </x:c>
      <x:c r="L16" s="32" t="n">
        <x:f>Forecast!L36</x:f>
        <x:v>0.10059983633758277</x:v>
      </x:c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0" customHeight="1">
      <x:c r="A20" s="11" t="str">
        <x:v>Working-capital sensitivity</x:v>
      </x:c>
      <x:c r="B20" s="11" t="str">
        <x:v>Working-capital sensitivity</x:v>
      </x:c>
      <x:c r="C20" s="11" t="str">
        <x:v>Working-capital sensitivity</x:v>
      </x:c>
      <x:c r="D20" s="11" t="str">
        <x:v>Working-capital sensitivity</x:v>
      </x:c>
      <x:c r="E20" s="11" t="str">
        <x:v>Working-capital sensitivity</x:v>
      </x:c>
      <x:c r="F20" s="11" t="str">
        <x:v>Working-capital sensitivity</x:v>
      </x:c>
      <x:c r="G20" s="11" t="str">
        <x:v>Working-capital sensitivity</x:v>
      </x:c>
      <x:c r="H20" s="11" t="str">
        <x:v>Working-capital sensitivity</x:v>
      </x:c>
      <x:c r="I20" s="11" t="str">
        <x:v>Working-capital sensitivity</x:v>
      </x:c>
      <x:c r="J20" s="11" t="str">
        <x:v>Working-capital sensitivity</x:v>
      </x:c>
      <x:c r="K20" s="11" t="str">
        <x:v>Working-capital sensitivity</x:v>
      </x:c>
      <x:c r="L20" s="11" t="str">
        <x:v>Working-capital sensitivity</x:v>
      </x:c>
      <x:c r="M20" s="1"/>
      <x:c r="N20" s="1"/>
      <x:c r="O20" s="1"/>
    </x:row>
    <x:row r="21">
      <x:c r="A21" s="16" t="str">
        <x:v>Metric</x:v>
      </x:c>
      <x:c r="B21" s="16" t="str">
        <x:v>80 days</x:v>
      </x:c>
      <x:c r="C21" s="16" t="str">
        <x:v>84 days</x:v>
      </x:c>
      <x:c r="D21" s="16" t="str">
        <x:v>Base: 85 days</x:v>
      </x:c>
      <x:c r="E21" s="16" t="str">
        <x:v>86 days</x:v>
      </x:c>
      <x:c r="F21" s="16" t="str">
        <x:v>90 days</x:v>
      </x:c>
      <x:c r="G21" s="1"/>
      <x:c r="H21" s="16" t="str">
        <x:v>Interpretation</x:v>
      </x:c>
      <x:c r="I21" s="16" t="str">
        <x:v>Interpretation</x:v>
      </x:c>
      <x:c r="J21" s="16" t="str">
        <x:v>Interpretation</x:v>
      </x:c>
      <x:c r="K21" s="16" t="str">
        <x:v>Interpretation</x:v>
      </x:c>
      <x:c r="L21" s="16" t="str">
        <x:v>Interpretation</x:v>
      </x:c>
      <x:c r="M21" s="1"/>
      <x:c r="N21" s="1"/>
      <x:c r="O21" s="1"/>
    </x:row>
    <x:row r="22">
      <x:c r="A22" s="17" t="str">
        <x:v>FY2027 DSO</x:v>
      </x:c>
      <x:c r="B22" s="81" t="n">
        <x:v>80</x:v>
      </x:c>
      <x:c r="C22" s="81" t="n">
        <x:v>84</x:v>
      </x:c>
      <x:c r="D22" s="81" t="n">
        <x:v>85</x:v>
      </x:c>
      <x:c r="E22" s="81" t="n">
        <x:v>86</x:v>
      </x:c>
      <x:c r="F22" s="81" t="n">
        <x:v>90</x:v>
      </x:c>
      <x:c r="G22" s="1"/>
      <x:c r="H22" s="17" t="str">
        <x:v>Base DSO is 85 days.</x:v>
      </x:c>
      <x:c r="I22" s="17" t="str">
        <x:v>Base DSO is 85 days.</x:v>
      </x:c>
      <x:c r="J22" s="17" t="str">
        <x:v>Base DSO is 85 days.</x:v>
      </x:c>
      <x:c r="K22" s="17" t="str">
        <x:v>Base DSO is 85 days.</x:v>
      </x:c>
      <x:c r="L22" s="17" t="str">
        <x:v>Base DSO is 85 days.</x:v>
      </x:c>
      <x:c r="M22" s="1"/>
      <x:c r="N22" s="1"/>
      <x:c r="O22" s="1"/>
    </x:row>
    <x:row r="23">
      <x:c r="A23" s="17" t="str">
        <x:v>FCFF impact versus Base</x:v>
      </x:c>
      <x:c r="B23" s="33" t="n">
        <x:f>('Sources &amp; Assumptions'!$D$112-B22)*Forecast!$I$7/365</x:f>
        <x:v>30.383013698630133</x:v>
      </x:c>
      <x:c r="C23" s="33" t="n">
        <x:f>('Sources &amp; Assumptions'!$D$112-C22)*Forecast!$I$7/365</x:f>
        <x:v>6.076602739726027</x:v>
      </x:c>
      <x:c r="D23" s="33" t="n">
        <x:f>('Sources &amp; Assumptions'!$D$112-D22)*Forecast!$I$7/365</x:f>
        <x:v>0</x:v>
      </x:c>
      <x:c r="E23" s="33" t="n">
        <x:f>('Sources &amp; Assumptions'!$D$112-E22)*Forecast!$I$7/365</x:f>
        <x:v>-6.076602739726027</x:v>
      </x:c>
      <x:c r="F23" s="33" t="n">
        <x:f>('Sources &amp; Assumptions'!$D$112-F22)*Forecast!$I$7/365</x:f>
        <x:v>-30.383013698630133</x:v>
      </x:c>
      <x:c r="G23" s="1"/>
      <x:c r="H23" s="17" t="str">
        <x:v>Higher DSO delays cash collection; lower DSO releases cash.</x:v>
      </x:c>
      <x:c r="I23" s="17" t="str">
        <x:v>Higher DSO delays cash collection; lower DSO releases cash.</x:v>
      </x:c>
      <x:c r="J23" s="17" t="str">
        <x:v>Higher DSO delays cash collection; lower DSO releases cash.</x:v>
      </x:c>
      <x:c r="K23" s="17" t="str">
        <x:v>Higher DSO delays cash collection; lower DSO releases cash.</x:v>
      </x:c>
      <x:c r="L23" s="17" t="str">
        <x:v>Higher DSO delays cash collection; lower DSO releases cash.</x:v>
      </x:c>
      <x:c r="M23" s="1"/>
      <x:c r="N23" s="1"/>
      <x:c r="O23" s="1"/>
    </x:row>
    <x:row r="24">
      <x:c r="A24" s="17" t="str">
        <x:v>Impact / Base FCFF</x:v>
      </x:c>
      <x:c r="B24" s="32" t="n">
        <x:f>B23/Forecast!$I$35</x:f>
        <x:v>0.1768419968614645</x:v>
      </x:c>
      <x:c r="C24" s="32" t="n">
        <x:f>C23/Forecast!$I$35</x:f>
        <x:v>0.03536839937229291</x:v>
      </x:c>
      <x:c r="D24" s="32" t="n">
        <x:f>D23/Forecast!$I$35</x:f>
        <x:v>0</x:v>
      </x:c>
      <x:c r="E24" s="32" t="n">
        <x:f>E23/Forecast!$I$35</x:f>
        <x:v>-0.03536839937229291</x:v>
      </x:c>
      <x:c r="F24" s="32" t="n">
        <x:f>F23/Forecast!$I$35</x:f>
        <x:v>-0.1768419968614645</x:v>
      </x:c>
      <x:c r="G24" s="1"/>
      <x:c r="H24" s="17" t="str">
        <x:v>Shows materiality relative to FY2027 Base FCFF.</x:v>
      </x:c>
      <x:c r="I24" s="17" t="str">
        <x:v>Shows materiality relative to FY2027 Base FCFF.</x:v>
      </x:c>
      <x:c r="J24" s="17" t="str">
        <x:v>Shows materiality relative to FY2027 Base FCFF.</x:v>
      </x:c>
      <x:c r="K24" s="17" t="str">
        <x:v>Shows materiality relative to FY2027 Base FCFF.</x:v>
      </x:c>
      <x:c r="L24" s="17" t="str">
        <x:v>Shows materiality relative to FY2027 Base FCFF.</x:v>
      </x:c>
      <x:c r="M24" s="1"/>
      <x:c r="N24" s="1"/>
      <x:c r="O24" s="1"/>
    </x:row>
    <x:row r="25">
      <x:c r="A25" s="17" t="str">
        <x:v>FY2027 FCFF after DSO change</x:v>
      </x:c>
      <x:c r="B25" s="33" t="n">
        <x:f>Forecast!$I$35+B23</x:f>
        <x:v>202.1918274298602</x:v>
      </x:c>
      <x:c r="C25" s="33" t="n">
        <x:f>Forecast!$I$35+C23</x:f>
        <x:v>177.8854164709561</x:v>
      </x:c>
      <x:c r="D25" s="33" t="n">
        <x:f>Forecast!$I$35+D23</x:f>
        <x:v>171.8088137312301</x:v>
      </x:c>
      <x:c r="E25" s="33" t="n">
        <x:f>Forecast!$I$35+E23</x:f>
        <x:v>165.73221099150408</x:v>
      </x:c>
      <x:c r="F25" s="33" t="n">
        <x:f>Forecast!$I$35+F23</x:f>
        <x:v>141.42580003259997</x:v>
      </x:c>
      <x:c r="G25" s="1"/>
      <x:c r="H25" s="17" t="str">
        <x:v>Cash-flow result after the DSO change.</x:v>
      </x:c>
      <x:c r="I25" s="17" t="str">
        <x:v>Cash-flow result after the DSO change.</x:v>
      </x:c>
      <x:c r="J25" s="17" t="str">
        <x:v>Cash-flow result after the DSO change.</x:v>
      </x:c>
      <x:c r="K25" s="17" t="str">
        <x:v>Cash-flow result after the DSO change.</x:v>
      </x:c>
      <x:c r="L25" s="17" t="str">
        <x:v>Cash-flow result after the DSO change.</x:v>
      </x:c>
      <x:c r="M25" s="1"/>
      <x:c r="N25" s="1"/>
      <x:c r="O25" s="1"/>
    </x:row>
    <x:row r="26">
      <x:c r="A26" s="17" t="str">
        <x:v>DPO held at Base</x:v>
      </x:c>
      <x:c r="B26" s="81" t="n">
        <x:f>'Sources &amp; Assumptions'!D113</x:f>
        <x:v>22</x:v>
      </x:c>
      <x:c r="C26" s="81" t="n">
        <x:f>'Sources &amp; Assumptions'!D113</x:f>
        <x:v>22</x:v>
      </x:c>
      <x:c r="D26" s="81" t="n">
        <x:f>'Sources &amp; Assumptions'!D113</x:f>
        <x:v>22</x:v>
      </x:c>
      <x:c r="E26" s="81" t="n">
        <x:f>'Sources &amp; Assumptions'!D113</x:f>
        <x:v>22</x:v>
      </x:c>
      <x:c r="F26" s="81" t="n">
        <x:f>'Sources &amp; Assumptions'!D113</x:f>
        <x:v>22</x:v>
      </x:c>
      <x:c r="G26" s="1"/>
      <x:c r="H26" s="17" t="str">
        <x:v>DPO is held constant so the table isolates receivables.</x:v>
      </x:c>
      <x:c r="I26" s="17" t="str">
        <x:v>DPO is held constant so the table isolates receivables.</x:v>
      </x:c>
      <x:c r="J26" s="17" t="str">
        <x:v>DPO is held constant so the table isolates receivables.</x:v>
      </x:c>
      <x:c r="K26" s="17" t="str">
        <x:v>DPO is held constant so the table isolates receivables.</x:v>
      </x:c>
      <x:c r="L26" s="17" t="str">
        <x:v>DPO is held constant so the table isolates receivables.</x:v>
      </x:c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0" customHeight="1">
      <x:c r="A29" s="11" t="str">
        <x:v>Operating sensitivity — FY2030 forecast GAAP EBIT margin</x:v>
      </x:c>
      <x:c r="B29" s="11" t="str">
        <x:v>Operating sensitivity — FY2030 forecast GAAP EBIT margin</x:v>
      </x:c>
      <x:c r="C29" s="11" t="str">
        <x:v>Operating sensitivity — FY2030 forecast GAAP EBIT margin</x:v>
      </x:c>
      <x:c r="D29" s="11" t="str">
        <x:v>Operating sensitivity — FY2030 forecast GAAP EBIT margin</x:v>
      </x:c>
      <x:c r="E29" s="11" t="str">
        <x:v>Operating sensitivity — FY2030 forecast GAAP EBIT margin</x:v>
      </x:c>
      <x:c r="F29" s="11" t="str">
        <x:v>Operating sensitivity — FY2030 forecast GAAP EBIT margin</x:v>
      </x:c>
      <x:c r="G29" s="11" t="str">
        <x:v>Operating sensitivity — FY2030 forecast GAAP EBIT margin</x:v>
      </x:c>
      <x:c r="H29" s="11" t="str">
        <x:v>Operating sensitivity — FY2030 forecast GAAP EBIT margin</x:v>
      </x:c>
      <x:c r="I29" s="11" t="str">
        <x:v>Operating sensitivity — FY2030 forecast GAAP EBIT margin</x:v>
      </x:c>
      <x:c r="J29" s="11" t="str">
        <x:v>Operating sensitivity — FY2030 forecast GAAP EBIT margin</x:v>
      </x:c>
      <x:c r="K29" s="11" t="str">
        <x:v>Operating sensitivity — FY2030 forecast GAAP EBIT margin</x:v>
      </x:c>
      <x:c r="L29" s="11" t="str">
        <x:v>Operating sensitivity — FY2030 forecast GAAP EBIT margin</x:v>
      </x:c>
      <x:c r="M29" s="11" t="str">
        <x:v>Operating sensitivity — FY2030 forecast GAAP EBIT margin</x:v>
      </x:c>
      <x:c r="N29" s="11" t="str">
        <x:v>Operating sensitivity — FY2030 forecast GAAP EBIT margin</x:v>
      </x:c>
      <x:c r="O29" s="11" t="str">
        <x:v>Operating sensitivity — FY2030 forecast GAAP EBIT margin</x:v>
      </x:c>
    </x:row>
    <x:row r="30">
      <x:c r="A30" s="16" t="str">
        <x:v>Revenue-growth path shift / S&amp;M cost-ratio shift</x:v>
      </x:c>
      <x:c r="B30" s="84" t="n">
        <x:v>-0.04</x:v>
      </x:c>
      <x:c r="C30" s="84" t="n">
        <x:v>-0.02</x:v>
      </x:c>
      <x:c r="D30" s="84" t="n">
        <x:v>0</x:v>
      </x:c>
      <x:c r="E30" s="84" t="n">
        <x:v>0.02</x:v>
      </x:c>
      <x:c r="F30" s="84" t="n">
        <x:v>0.04</x:v>
      </x:c>
      <x:c r="G30" s="1"/>
      <x:c r="H30" s="16" t="str">
        <x:v>FY2027 revenue</x:v>
      </x:c>
      <x:c r="I30" s="16" t="str">
        <x:v>FY2028 revenue</x:v>
      </x:c>
      <x:c r="J30" s="16" t="str">
        <x:v>FY2029 revenue</x:v>
      </x:c>
      <x:c r="K30" s="16" t="str">
        <x:v>FY2030 revenue</x:v>
      </x:c>
      <x:c r="L30" s="16" t="str">
        <x:v>FY2030 gross profit</x:v>
      </x:c>
      <x:c r="M30" s="16" t="str">
        <x:v>FY2030 R&amp;D</x:v>
      </x:c>
      <x:c r="N30" s="16" t="str">
        <x:v>FY2030 G&amp;A</x:v>
      </x:c>
      <x:c r="O30" s="16" t="str">
        <x:v>FY2030 D&amp;A</x:v>
      </x:c>
    </x:row>
    <x:row r="31">
      <x:c r="A31" s="85" t="n">
        <x:v>-0.04</x:v>
      </x:c>
      <x:c r="B31" s="32" t="n">
        <x:f>($L31-(Forecast!$H$13+($H31-Forecast!$H$7)*((Forecast!$I$13-Forecast!$H$13)/(Forecast!$I$7-Forecast!$H$7)+B$30)+($I31-$H31)*((Forecast!$J$13-Forecast!$I$13)/(Forecast!$J$7-Forecast!$I$7)+B$30)+($J31-$I31)*((Forecast!$K$13-Forecast!$J$13)/(Forecast!$K$7-Forecast!$J$7)+B$30)+($K31-$J31)*((Forecast!$L$13-Forecast!$K$13)/(Forecast!$L$7-Forecast!$K$7)+B$30))-$M31-$N31-$O31)/$K31</x:f>
        <x:v>0.14170335027077519</x:v>
      </x:c>
      <x:c r="C31" s="32" t="n">
        <x:f>($L31-(Forecast!$H$13+($H31-Forecast!$H$7)*((Forecast!$I$13-Forecast!$H$13)/(Forecast!$I$7-Forecast!$H$7)+C$30)+($I31-$H31)*((Forecast!$J$13-Forecast!$I$13)/(Forecast!$J$7-Forecast!$I$7)+C$30)+($J31-$I31)*((Forecast!$K$13-Forecast!$J$13)/(Forecast!$K$7-Forecast!$J$7)+C$30)+($K31-$J31)*((Forecast!$L$13-Forecast!$K$13)/(Forecast!$L$7-Forecast!$K$7)+C$30))-$M31-$N31-$O31)/$K31</x:f>
        <x:v>0.13275327793242375</x:v>
      </x:c>
      <x:c r="D31" s="32" t="n">
        <x:f>($L31-(Forecast!$H$13+($H31-Forecast!$H$7)*((Forecast!$I$13-Forecast!$H$13)/(Forecast!$I$7-Forecast!$H$7)+D$30)+($I31-$H31)*((Forecast!$J$13-Forecast!$I$13)/(Forecast!$J$7-Forecast!$I$7)+D$30)+($J31-$I31)*((Forecast!$K$13-Forecast!$J$13)/(Forecast!$K$7-Forecast!$J$7)+D$30)+($K31-$J31)*((Forecast!$L$13-Forecast!$K$13)/(Forecast!$L$7-Forecast!$K$7)+D$30))-$M31-$N31-$O31)/$K31</x:f>
        <x:v>0.12380320559407228</x:v>
      </x:c>
      <x:c r="E31" s="32" t="n">
        <x:f>($L31-(Forecast!$H$13+($H31-Forecast!$H$7)*((Forecast!$I$13-Forecast!$H$13)/(Forecast!$I$7-Forecast!$H$7)+E$30)+($I31-$H31)*((Forecast!$J$13-Forecast!$I$13)/(Forecast!$J$7-Forecast!$I$7)+E$30)+($J31-$I31)*((Forecast!$K$13-Forecast!$J$13)/(Forecast!$K$7-Forecast!$J$7)+E$30)+($K31-$J31)*((Forecast!$L$13-Forecast!$K$13)/(Forecast!$L$7-Forecast!$K$7)+E$30))-$M31-$N31-$O31)/$K31</x:f>
        <x:v>0.11485313325572086</x:v>
      </x:c>
      <x:c r="F31" s="32" t="n">
        <x:f>($L31-(Forecast!$H$13+($H31-Forecast!$H$7)*((Forecast!$I$13-Forecast!$H$13)/(Forecast!$I$7-Forecast!$H$7)+F$30)+($I31-$H31)*((Forecast!$J$13-Forecast!$I$13)/(Forecast!$J$7-Forecast!$I$7)+F$30)+($J31-$I31)*((Forecast!$K$13-Forecast!$J$13)/(Forecast!$K$7-Forecast!$J$7)+F$30)+($K31-$J31)*((Forecast!$L$13-Forecast!$K$13)/(Forecast!$L$7-Forecast!$K$7)+F$30))-$M31-$N31-$O31)/$K31</x:f>
        <x:v>0.10590306091736938</x:v>
      </x:c>
      <x:c r="G31" s="1"/>
      <x:c r="H31" s="33" t="n">
        <x:f>Forecast!$H$7*(1+Forecast!$I$8+$A31)</x:f>
        <x:v>2145.24</x:v>
      </x:c>
      <x:c r="I31" s="33" t="n">
        <x:f>H31*(1+Forecast!$J$8+$A31)</x:f>
        <x:v>2509.9307999999996</x:v>
      </x:c>
      <x:c r="J31" s="33" t="n">
        <x:f>I31*(1+Forecast!$K$8+$A31)</x:f>
        <x:v>2886.4204199999995</x:v>
      </x:c>
      <x:c r="K31" s="33" t="n">
        <x:f>J31*(1+Forecast!$L$8+$A31)</x:f>
        <x:v>3290.519278799999</x:v>
      </x:c>
      <x:c r="L31" s="33" t="n">
        <x:f>Forecast!$H$9+(H31-Forecast!$H$7)*Forecast!$I$11+(I31-H31)*Forecast!$J$11+(J31-I31)*Forecast!$K$11+(K31-J31)*Forecast!$L$11</x:f>
        <x:v>1896.1842461279994</x:v>
      </x:c>
      <x:c r="M31" s="33" t="n">
        <x:f>Forecast!$I$15*(1+(Forecast!$J$8+$A31)*$I$40)*(1+(Forecast!$K$8+$A31)*$I$40)*(1+(Forecast!$L$8+$A31)*$I$40)</x:f>
        <x:v>315.2695499021249</x:v>
      </x:c>
      <x:c r="N31" s="33" t="n">
        <x:f>Forecast!$I$17*(1+MIN($I$42,(Forecast!$J$8+$A31)*$I$41))*(1+MIN($I$42,(Forecast!$K$8+$A31)*$I$41))*(1+MIN($I$42,(Forecast!$L$8+$A31)*$I$41))</x:f>
        <x:v>439.84649338918393</x:v>
      </x:c>
      <x:c r="O31" s="33" t="n">
        <x:f>Forecast!$L$23</x:f>
        <x:v>74.57791652615595</x:v>
      </x:c>
    </x:row>
    <x:row r="32">
      <x:c r="A32" s="85" t="n">
        <x:v>-0.02</x:v>
      </x:c>
      <x:c r="B32" s="32" t="n">
        <x:f>($L32-(Forecast!$H$13+($H32-Forecast!$H$7)*((Forecast!$I$13-Forecast!$H$13)/(Forecast!$I$7-Forecast!$H$7)+B$30)+($I32-$H32)*((Forecast!$J$13-Forecast!$I$13)/(Forecast!$J$7-Forecast!$I$7)+B$30)+($J32-$I32)*((Forecast!$K$13-Forecast!$J$13)/(Forecast!$K$7-Forecast!$J$7)+B$30)+($K32-$J32)*((Forecast!$L$13-Forecast!$K$13)/(Forecast!$L$7-Forecast!$K$7)+B$30))-$M32-$N32-$O32)/$K32</x:f>
        <x:v>0.1531792432309613</x:v>
      </x:c>
      <x:c r="C32" s="32" t="n">
        <x:f>($L32-(Forecast!$H$13+($H32-Forecast!$H$7)*((Forecast!$I$13-Forecast!$H$13)/(Forecast!$I$7-Forecast!$H$7)+C$30)+($I32-$H32)*((Forecast!$J$13-Forecast!$I$13)/(Forecast!$J$7-Forecast!$I$7)+C$30)+($J32-$I32)*((Forecast!$K$13-Forecast!$J$13)/(Forecast!$K$7-Forecast!$J$7)+C$30)+($K32-$J32)*((Forecast!$L$13-Forecast!$K$13)/(Forecast!$L$7-Forecast!$K$7)+C$30))-$M32-$N32-$O32)/$K32</x:f>
        <x:v>0.14349872616707707</x:v>
      </x:c>
      <x:c r="D32" s="32" t="n">
        <x:f>($L32-(Forecast!$H$13+($H32-Forecast!$H$7)*((Forecast!$I$13-Forecast!$H$13)/(Forecast!$I$7-Forecast!$H$7)+D$30)+($I32-$H32)*((Forecast!$J$13-Forecast!$I$13)/(Forecast!$J$7-Forecast!$I$7)+D$30)+($J32-$I32)*((Forecast!$K$13-Forecast!$J$13)/(Forecast!$K$7-Forecast!$J$7)+D$30)+($K32-$J32)*((Forecast!$L$13-Forecast!$K$13)/(Forecast!$L$7-Forecast!$K$7)+D$30))-$M32-$N32-$O32)/$K32</x:f>
        <x:v>0.13381820910319292</x:v>
      </x:c>
      <x:c r="E32" s="32" t="n">
        <x:f>($L32-(Forecast!$H$13+($H32-Forecast!$H$7)*((Forecast!$I$13-Forecast!$H$13)/(Forecast!$I$7-Forecast!$H$7)+E$30)+($I32-$H32)*((Forecast!$J$13-Forecast!$I$13)/(Forecast!$J$7-Forecast!$I$7)+E$30)+($J32-$I32)*((Forecast!$K$13-Forecast!$J$13)/(Forecast!$K$7-Forecast!$J$7)+E$30)+($K32-$J32)*((Forecast!$L$13-Forecast!$K$13)/(Forecast!$L$7-Forecast!$K$7)+E$30))-$M32-$N32-$O32)/$K32</x:f>
        <x:v>0.12413769203930868</x:v>
      </x:c>
      <x:c r="F32" s="32" t="n">
        <x:f>($L32-(Forecast!$H$13+($H32-Forecast!$H$7)*((Forecast!$I$13-Forecast!$H$13)/(Forecast!$I$7-Forecast!$H$7)+F$30)+($I32-$H32)*((Forecast!$J$13-Forecast!$I$13)/(Forecast!$J$7-Forecast!$I$7)+F$30)+($J32-$I32)*((Forecast!$K$13-Forecast!$J$13)/(Forecast!$K$7-Forecast!$J$7)+F$30)+($K32-$J32)*((Forecast!$L$13-Forecast!$K$13)/(Forecast!$L$7-Forecast!$K$7)+F$30))-$M32-$N32-$O32)/$K32</x:f>
        <x:v>0.11445717497542446</x:v>
      </x:c>
      <x:c r="G32" s="1"/>
      <x:c r="H32" s="33" t="n">
        <x:f>Forecast!$H$7*(1+Forecast!$I$8+$A32)</x:f>
        <x:v>2181.6</x:v>
      </x:c>
      <x:c r="I32" s="33" t="n">
        <x:f>H32*(1+Forecast!$J$8+$A32)</x:f>
        <x:v>2596.104</x:v>
      </x:c>
      <x:c r="J32" s="33" t="n">
        <x:f>I32*(1+Forecast!$K$8+$A32)</x:f>
        <x:v>3037.4416799999995</x:v>
      </x:c>
      <x:c r="K32" s="33" t="n">
        <x:f>J32*(1+Forecast!$L$8+$A32)</x:f>
        <x:v>3523.432348799999</x:v>
      </x:c>
      <x:c r="L32" s="33" t="n">
        <x:f>Forecast!$H$9+(H32-Forecast!$H$7)*Forecast!$I$11+(I32-H32)*Forecast!$J$11+(J32-I32)*Forecast!$K$11+(K32-J32)*Forecast!$L$11</x:f>
        <x:v>2026.9791653279995</x:v>
      </x:c>
      <x:c r="M32" s="33" t="n">
        <x:f>Forecast!$I$15*(1+(Forecast!$J$8+$A32)*$I$40)*(1+(Forecast!$K$8+$A32)*$I$40)*(1+(Forecast!$L$8+$A32)*$I$40)</x:f>
        <x:v>331.9588761898499</x:v>
      </x:c>
      <x:c r="N32" s="33" t="n">
        <x:f>Forecast!$I$17*(1+MIN($I$42,(Forecast!$J$8+$A32)*$I$41))*(1+MIN($I$42,(Forecast!$K$8+$A32)*$I$41))*(1+MIN($I$42,(Forecast!$L$8+$A32)*$I$41))</x:f>
        <x:v>454.50754682332155</x:v>
      </x:c>
      <x:c r="O32" s="33" t="n">
        <x:f>Forecast!$L$23</x:f>
        <x:v>74.57791652615595</x:v>
      </x:c>
    </x:row>
    <x:row r="33">
      <x:c r="A33" s="85" t="n">
        <x:v>0</x:v>
      </x:c>
      <x:c r="B33" s="32" t="n">
        <x:f>($L33-(Forecast!$H$13+($H33-Forecast!$H$7)*((Forecast!$I$13-Forecast!$H$13)/(Forecast!$I$7-Forecast!$H$7)+B$30)+($I33-$H33)*((Forecast!$J$13-Forecast!$I$13)/(Forecast!$J$7-Forecast!$I$7)+B$30)+($J33-$I33)*((Forecast!$K$13-Forecast!$J$13)/(Forecast!$K$7-Forecast!$J$7)+B$30)+($K33-$J33)*((Forecast!$L$13-Forecast!$K$13)/(Forecast!$L$7-Forecast!$K$7)+B$30))-$M33-$N33-$O33)/$K33</x:f>
        <x:v>0.1645886951239334</x:v>
      </x:c>
      <x:c r="C33" s="32" t="n">
        <x:f>($L33-(Forecast!$H$13+($H33-Forecast!$H$7)*((Forecast!$I$13-Forecast!$H$13)/(Forecast!$I$7-Forecast!$H$7)+C$30)+($I33-$H33)*((Forecast!$J$13-Forecast!$I$13)/(Forecast!$J$7-Forecast!$I$7)+C$30)+($J33-$I33)*((Forecast!$K$13-Forecast!$J$13)/(Forecast!$K$7-Forecast!$J$7)+C$30)+($K33-$J33)*((Forecast!$L$13-Forecast!$K$13)/(Forecast!$L$7-Forecast!$K$7)+C$30))-$M33-$N33-$O33)/$K33</x:f>
        <x:v>0.15423710680915562</x:v>
      </x:c>
      <x:c r="D33" s="87" t="n">
        <x:f>($L33-(Forecast!$H$13+($H33-Forecast!$H$7)*((Forecast!$I$13-Forecast!$H$13)/(Forecast!$I$7-Forecast!$H$7)+D$30)+($I33-$H33)*((Forecast!$J$13-Forecast!$I$13)/(Forecast!$J$7-Forecast!$I$7)+D$30)+($J33-$I33)*((Forecast!$K$13-Forecast!$J$13)/(Forecast!$K$7-Forecast!$J$7)+D$30)+($K33-$J33)*((Forecast!$L$13-Forecast!$K$13)/(Forecast!$L$7-Forecast!$K$7)+D$30))-$M33-$N33-$O33)/$K33</x:f>
        <x:v>0.1438855184943779</x:v>
      </x:c>
      <x:c r="E33" s="32" t="n">
        <x:f>($L33-(Forecast!$H$13+($H33-Forecast!$H$7)*((Forecast!$I$13-Forecast!$H$13)/(Forecast!$I$7-Forecast!$H$7)+E$30)+($I33-$H33)*((Forecast!$J$13-Forecast!$I$13)/(Forecast!$J$7-Forecast!$I$7)+E$30)+($J33-$I33)*((Forecast!$K$13-Forecast!$J$13)/(Forecast!$K$7-Forecast!$J$7)+E$30)+($K33-$J33)*((Forecast!$L$13-Forecast!$K$13)/(Forecast!$L$7-Forecast!$K$7)+E$30))-$M33-$N33-$O33)/$K33</x:f>
        <x:v>0.13353393017960016</x:v>
      </x:c>
      <x:c r="F33" s="32" t="n">
        <x:f>($L33-(Forecast!$H$13+($H33-Forecast!$H$7)*((Forecast!$I$13-Forecast!$H$13)/(Forecast!$I$7-Forecast!$H$7)+F$30)+($I33-$H33)*((Forecast!$J$13-Forecast!$I$13)/(Forecast!$J$7-Forecast!$I$7)+F$30)+($J33-$I33)*((Forecast!$K$13-Forecast!$J$13)/(Forecast!$K$7-Forecast!$J$7)+F$30)+($K33-$J33)*((Forecast!$L$13-Forecast!$K$13)/(Forecast!$L$7-Forecast!$K$7)+F$30))-$M33-$N33-$O33)/$K33</x:f>
        <x:v>0.12318234186482245</x:v>
      </x:c>
      <x:c r="G33" s="1"/>
      <x:c r="H33" s="33" t="n">
        <x:f>Forecast!$H$7*(1+Forecast!$I$8+$A33)</x:f>
        <x:v>2217.96</x:v>
      </x:c>
      <x:c r="I33" s="33" t="n">
        <x:f>H33*(1+Forecast!$J$8+$A33)</x:f>
        <x:v>2683.7316</x:v>
      </x:c>
      <x:c r="J33" s="33" t="n">
        <x:f>I33*(1+Forecast!$K$8+$A33)</x:f>
        <x:v>3193.640604</x:v>
      </x:c>
      <x:c r="K33" s="33" t="n">
        <x:f>J33*(1+Forecast!$L$8+$A33)</x:f>
        <x:v>3768.49591272</x:v>
      </x:c>
      <x:c r="L33" s="33" t="n">
        <x:f>Forecast!$H$9+(H33-Forecast!$H$7)*Forecast!$I$11+(I33-H33)*Forecast!$J$11+(J33-I33)*Forecast!$K$11+(K33-J33)*Forecast!$L$11</x:f>
        <x:v>2164.5783611232</x:v>
      </x:c>
      <x:c r="M33" s="33" t="n">
        <x:f>Forecast!$I$15*(1+(Forecast!$J$8+$A33)*$I$40)*(1+(Forecast!$K$8+$A33)*$I$40)*(1+(Forecast!$L$8+$A33)*$I$40)</x:f>
        <x:v>349.22699928077486</x:v>
      </x:c>
      <x:c r="N33" s="33" t="n">
        <x:f>Forecast!$I$17*(1+MIN($I$42,(Forecast!$J$8+$A33)*$I$41))*(1+MIN($I$42,(Forecast!$K$8+$A33)*$I$41))*(1+MIN($I$42,(Forecast!$L$8+$A33)*$I$41))</x:f>
        <x:v>466.98908860620804</x:v>
      </x:c>
      <x:c r="O33" s="33" t="n">
        <x:f>Forecast!$L$23</x:f>
        <x:v>74.57791652615595</x:v>
      </x:c>
    </x:row>
    <x:row r="34">
      <x:c r="A34" s="85" t="n">
        <x:v>0.02</x:v>
      </x:c>
      <x:c r="B34" s="32" t="n">
        <x:f>($L34-(Forecast!$H$13+($H34-Forecast!$H$7)*((Forecast!$I$13-Forecast!$H$13)/(Forecast!$I$7-Forecast!$H$7)+B$30)+($I34-$H34)*((Forecast!$J$13-Forecast!$I$13)/(Forecast!$J$7-Forecast!$I$7)+B$30)+($J34-$I34)*((Forecast!$K$13-Forecast!$J$13)/(Forecast!$K$7-Forecast!$J$7)+B$30)+($K34-$J34)*((Forecast!$L$13-Forecast!$K$13)/(Forecast!$L$7-Forecast!$K$7)+B$30))-$M34-$N34-$O34)/$K34</x:f>
        <x:v>0.17653787591711476</x:v>
      </x:c>
      <x:c r="C34" s="32" t="n">
        <x:f>($L34-(Forecast!$H$13+($H34-Forecast!$H$7)*((Forecast!$I$13-Forecast!$H$13)/(Forecast!$I$7-Forecast!$H$7)+C$30)+($I34-$H34)*((Forecast!$J$13-Forecast!$I$13)/(Forecast!$J$7-Forecast!$I$7)+C$30)+($J34-$I34)*((Forecast!$K$13-Forecast!$J$13)/(Forecast!$K$7-Forecast!$J$7)+C$30)+($K34-$J34)*((Forecast!$L$13-Forecast!$K$13)/(Forecast!$L$7-Forecast!$K$7)+C$30))-$M34-$N34-$O34)/$K34</x:f>
        <x:v>0.1655688913139123</x:v>
      </x:c>
      <x:c r="D34" s="32" t="n">
        <x:f>($L34-(Forecast!$H$13+($H34-Forecast!$H$7)*((Forecast!$I$13-Forecast!$H$13)/(Forecast!$I$7-Forecast!$H$7)+D$30)+($I34-$H34)*((Forecast!$J$13-Forecast!$I$13)/(Forecast!$J$7-Forecast!$I$7)+D$30)+($J34-$I34)*((Forecast!$K$13-Forecast!$J$13)/(Forecast!$K$7-Forecast!$J$7)+D$30)+($K34-$J34)*((Forecast!$L$13-Forecast!$K$13)/(Forecast!$L$7-Forecast!$K$7)+D$30))-$M34-$N34-$O34)/$K34</x:f>
        <x:v>0.15459990671070986</x:v>
      </x:c>
      <x:c r="E34" s="32" t="n">
        <x:f>($L34-(Forecast!$H$13+($H34-Forecast!$H$7)*((Forecast!$I$13-Forecast!$H$13)/(Forecast!$I$7-Forecast!$H$7)+E$30)+($I34-$H34)*((Forecast!$J$13-Forecast!$I$13)/(Forecast!$J$7-Forecast!$I$7)+E$30)+($J34-$I34)*((Forecast!$K$13-Forecast!$J$13)/(Forecast!$K$7-Forecast!$J$7)+E$30)+($K34-$J34)*((Forecast!$L$13-Forecast!$K$13)/(Forecast!$L$7-Forecast!$K$7)+E$30))-$M34-$N34-$O34)/$K34</x:f>
        <x:v>0.14363092210750736</x:v>
      </x:c>
      <x:c r="F34" s="32" t="n">
        <x:f>($L34-(Forecast!$H$13+($H34-Forecast!$H$7)*((Forecast!$I$13-Forecast!$H$13)/(Forecast!$I$7-Forecast!$H$7)+F$30)+($I34-$H34)*((Forecast!$J$13-Forecast!$I$13)/(Forecast!$J$7-Forecast!$I$7)+F$30)+($J34-$I34)*((Forecast!$K$13-Forecast!$J$13)/(Forecast!$K$7-Forecast!$J$7)+F$30)+($K34-$J34)*((Forecast!$L$13-Forecast!$K$13)/(Forecast!$L$7-Forecast!$K$7)+F$30))-$M34-$N34-$O34)/$K34</x:f>
        <x:v>0.1326619375043049</x:v>
      </x:c>
      <x:c r="G34" s="1"/>
      <x:c r="H34" s="33" t="n">
        <x:f>Forecast!$H$7*(1+Forecast!$I$8+$A34)</x:f>
        <x:v>2254.32</x:v>
      </x:c>
      <x:c r="I34" s="33" t="n">
        <x:f>H34*(1+Forecast!$J$8+$A34)</x:f>
        <x:v>2772.8136</x:v>
      </x:c>
      <x:c r="J34" s="33" t="n">
        <x:f>I34*(1+Forecast!$K$8+$A34)</x:f>
        <x:v>3355.104456</x:v>
      </x:c>
      <x:c r="K34" s="33" t="n">
        <x:f>J34*(1+Forecast!$L$8+$A34)</x:f>
        <x:v>4026.1253472</x:v>
      </x:c>
      <x:c r="L34" s="33" t="n">
        <x:f>Forecast!$H$9+(H34-Forecast!$H$7)*Forecast!$I$11+(I34-H34)*Forecast!$J$11+(J34-I34)*Forecast!$K$11+(K34-J34)*Forecast!$L$11</x:f>
        <x:v>2309.214444432</x:v>
      </x:c>
      <x:c r="M34" s="33" t="n">
        <x:f>Forecast!$I$15*(1+(Forecast!$J$8+$A34)*$I$40)*(1+(Forecast!$K$8+$A34)*$I$40)*(1+(Forecast!$L$8+$A34)*$I$40)</x:f>
        <x:v>367.0837850294999</x:v>
      </x:c>
      <x:c r="N34" s="33" t="n">
        <x:f>Forecast!$I$17*(1+MIN($I$42,(Forecast!$J$8+$A34)*$I$41))*(1+MIN($I$42,(Forecast!$K$8+$A34)*$I$41))*(1+MIN($I$42,(Forecast!$L$8+$A34)*$I$41))</x:f>
        <x:v>474.58917416960014</x:v>
      </x:c>
      <x:c r="O34" s="33" t="n">
        <x:f>Forecast!$L$23</x:f>
        <x:v>74.57791652615595</x:v>
      </x:c>
    </x:row>
    <x:row r="35">
      <x:c r="A35" s="85" t="n">
        <x:v>0.04</x:v>
      </x:c>
      <x:c r="B35" s="32" t="n">
        <x:f>($L35-(Forecast!$H$13+($H35-Forecast!$H$7)*((Forecast!$I$13-Forecast!$H$13)/(Forecast!$I$7-Forecast!$H$7)+B$30)+($I35-$H35)*((Forecast!$J$13-Forecast!$I$13)/(Forecast!$J$7-Forecast!$I$7)+B$30)+($J35-$I35)*((Forecast!$K$13-Forecast!$J$13)/(Forecast!$K$7-Forecast!$J$7)+B$30)+($K35-$J35)*((Forecast!$L$13-Forecast!$K$13)/(Forecast!$L$7-Forecast!$K$7)+B$30))-$M35-$N35-$O35)/$K35</x:f>
        <x:v>0.1894813292693571</x:v>
      </x:c>
      <x:c r="C35" s="32" t="n">
        <x:f>($L35-(Forecast!$H$13+($H35-Forecast!$H$7)*((Forecast!$I$13-Forecast!$H$13)/(Forecast!$I$7-Forecast!$H$7)+C$30)+($I35-$H35)*((Forecast!$J$13-Forecast!$I$13)/(Forecast!$J$7-Forecast!$I$7)+C$30)+($J35-$I35)*((Forecast!$K$13-Forecast!$J$13)/(Forecast!$K$7-Forecast!$J$7)+C$30)+($K35-$J35)*((Forecast!$L$13-Forecast!$K$13)/(Forecast!$L$7-Forecast!$K$7)+C$30))-$M35-$N35-$O35)/$K35</x:f>
        <x:v>0.17794355284553512</x:v>
      </x:c>
      <x:c r="D35" s="32" t="n">
        <x:f>($L35-(Forecast!$H$13+($H35-Forecast!$H$7)*((Forecast!$I$13-Forecast!$H$13)/(Forecast!$I$7-Forecast!$H$7)+D$30)+($I35-$H35)*((Forecast!$J$13-Forecast!$I$13)/(Forecast!$J$7-Forecast!$I$7)+D$30)+($J35-$I35)*((Forecast!$K$13-Forecast!$J$13)/(Forecast!$K$7-Forecast!$J$7)+D$30)+($K35-$J35)*((Forecast!$L$13-Forecast!$K$13)/(Forecast!$L$7-Forecast!$K$7)+D$30))-$M35-$N35-$O35)/$K35</x:f>
        <x:v>0.16640577642171314</x:v>
      </x:c>
      <x:c r="E35" s="32" t="n">
        <x:f>($L35-(Forecast!$H$13+($H35-Forecast!$H$7)*((Forecast!$I$13-Forecast!$H$13)/(Forecast!$I$7-Forecast!$H$7)+E$30)+($I35-$H35)*((Forecast!$J$13-Forecast!$I$13)/(Forecast!$J$7-Forecast!$I$7)+E$30)+($J35-$I35)*((Forecast!$K$13-Forecast!$J$13)/(Forecast!$K$7-Forecast!$J$7)+E$30)+($K35-$J35)*((Forecast!$L$13-Forecast!$K$13)/(Forecast!$L$7-Forecast!$K$7)+E$30))-$M35-$N35-$O35)/$K35</x:f>
        <x:v>0.15486799999789116</x:v>
      </x:c>
      <x:c r="F35" s="32" t="n">
        <x:f>($L35-(Forecast!$H$13+($H35-Forecast!$H$7)*((Forecast!$I$13-Forecast!$H$13)/(Forecast!$I$7-Forecast!$H$7)+F$30)+($I35-$H35)*((Forecast!$J$13-Forecast!$I$13)/(Forecast!$J$7-Forecast!$I$7)+F$30)+($J35-$I35)*((Forecast!$K$13-Forecast!$J$13)/(Forecast!$K$7-Forecast!$J$7)+F$30)+($K35-$J35)*((Forecast!$L$13-Forecast!$K$13)/(Forecast!$L$7-Forecast!$K$7)+F$30))-$M35-$N35-$O35)/$K35</x:f>
        <x:v>0.14333022357406908</x:v>
      </x:c>
      <x:c r="G35" s="1"/>
      <x:c r="H35" s="33" t="n">
        <x:f>Forecast!$H$7*(1+Forecast!$I$8+$A35)</x:f>
        <x:v>2290.68</x:v>
      </x:c>
      <x:c r="I35" s="33" t="n">
        <x:f>H35*(1+Forecast!$J$8+$A35)</x:f>
        <x:v>2863.35</x:v>
      </x:c>
      <x:c r="J35" s="33" t="n">
        <x:f>I35*(1+Forecast!$K$8+$A35)</x:f>
        <x:v>3521.9204999999997</x:v>
      </x:c>
      <x:c r="K35" s="33" t="n">
        <x:f>J35*(1+Forecast!$L$8+$A35)</x:f>
        <x:v>4296.743009999999</x:v>
      </x:c>
      <x:c r="L35" s="33" t="n">
        <x:f>Forecast!$H$9+(H35-Forecast!$H$7)*Forecast!$I$11+(I35-H35)*Forecast!$J$11+(J35-I35)*Forecast!$K$11+(K35-J35)*Forecast!$L$11</x:f>
        <x:v>2461.1239355999996</x:v>
      </x:c>
      <x:c r="M35" s="33" t="n">
        <x:f>Forecast!$I$15*(1+(Forecast!$J$8+$A35)*$I$40)*(1+(Forecast!$K$8+$A35)*$I$40)*(1+(Forecast!$L$8+$A35)*$I$40)</x:f>
        <x:v>385.5390992906249</x:v>
      </x:c>
      <x:c r="N35" s="33" t="n">
        <x:f>Forecast!$I$17*(1+MIN($I$42,(Forecast!$J$8+$A35)*$I$41))*(1+MIN($I$42,(Forecast!$K$8+$A35)*$I$41))*(1+MIN($I$42,(Forecast!$L$8+$A35)*$I$41))</x:f>
        <x:v>474.58917416960026</x:v>
      </x:c>
      <x:c r="O35" s="33" t="n">
        <x:f>Forecast!$L$23</x:f>
        <x:v>74.57791652615595</x:v>
      </x:c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0" customHeight="1">
      <x:c r="A38" s="11" t="str">
        <x:v>How to read the operating grid</x:v>
      </x:c>
      <x:c r="B38" s="11" t="str">
        <x:v>How to read the operating grid</x:v>
      </x:c>
      <x:c r="C38" s="11" t="str">
        <x:v>How to read the operating grid</x:v>
      </x:c>
      <x:c r="D38" s="11" t="str">
        <x:v>How to read the operating grid</x:v>
      </x:c>
      <x:c r="E38" s="11" t="str">
        <x:v>How to read the operating grid</x:v>
      </x:c>
      <x:c r="F38" s="11" t="str">
        <x:v>How to read the operating grid</x:v>
      </x:c>
      <x:c r="G38" s="1"/>
      <x:c r="H38" s="11" t="str">
        <x:v>Base operating controls</x:v>
      </x:c>
      <x:c r="I38" s="11" t="str">
        <x:v>Base operating controls</x:v>
      </x:c>
      <x:c r="J38" s="11" t="str">
        <x:v>Base operating controls</x:v>
      </x:c>
      <x:c r="K38" s="11" t="str">
        <x:v>Base operating controls</x:v>
      </x:c>
      <x:c r="L38" s="1"/>
      <x:c r="M38" s="1"/>
      <x:c r="N38" s="1"/>
      <x:c r="O38" s="1"/>
    </x:row>
    <x:row r="39" ht="34" customHeight="1">
      <x:c r="A39" s="48" t="str">
        <x:v>Revenue axis</x:v>
      </x:c>
      <x:c r="B39" s="48" t="str">
        <x:v>Adds the same percentage-point shift to each FY2027–FY2030 Base revenue-growth rate; the path shape is preserved.</x:v>
      </x:c>
      <x:c r="C39" s="48"/>
      <x:c r="D39" s="48"/>
      <x:c r="E39" s="48"/>
      <x:c r="F39" s="48"/>
      <x:c r="G39" s="1"/>
      <x:c r="H39" s="16" t="str">
        <x:v>Control</x:v>
      </x:c>
      <x:c r="I39" s="16" t="str">
        <x:v>Value</x:v>
      </x:c>
      <x:c r="J39" s="16" t="str">
        <x:v>Source</x:v>
      </x:c>
      <x:c r="K39" s="16" t="str">
        <x:v>Use</x:v>
      </x:c>
      <x:c r="L39" s="1"/>
      <x:c r="M39" s="1"/>
      <x:c r="N39" s="1"/>
      <x:c r="O39" s="1"/>
    </x:row>
    <x:row r="40" ht="34" customHeight="1">
      <x:c r="A40" s="48" t="str">
        <x:v>S&amp;M axis</x:v>
      </x:c>
      <x:c r="B40" s="48" t="str">
        <x:v>Adds the same percentage-point shift to each annual incremental S&amp;M cost ratio; a higher ratio means more selling cost per dollar of added revenue.</x:v>
      </x:c>
      <x:c r="C40" s="48"/>
      <x:c r="D40" s="48"/>
      <x:c r="E40" s="48"/>
      <x:c r="F40" s="48"/>
      <x:c r="G40" s="1"/>
      <x:c r="H40" s="17" t="str">
        <x:v>R&amp;D growth elasticity</x:v>
      </x:c>
      <x:c r="I40" s="89" t="n">
        <x:v>1</x:v>
      </x:c>
      <x:c r="J40" s="17" t="str">
        <x:v>Approved Base</x:v>
      </x:c>
      <x:c r="K40" s="17" t="str">
        <x:v>FY2028–FY2030</x:v>
      </x:c>
      <x:c r="L40" s="1"/>
      <x:c r="M40" s="1"/>
      <x:c r="N40" s="1"/>
      <x:c r="O40" s="1"/>
    </x:row>
    <x:row r="41" ht="34" customHeight="1">
      <x:c r="A41" s="48" t="str">
        <x:v>Controlled variables</x:v>
      </x:c>
      <x:c r="B41" s="48" t="str">
        <x:v>Incremental gross margin and FY2030 D&amp;A stay at Base. R&amp;D and G&amp;A respond through their approved formulas. WACC, perpetual growth and working capital do not change.</x:v>
      </x:c>
      <x:c r="C41" s="48"/>
      <x:c r="D41" s="48"/>
      <x:c r="E41" s="48"/>
      <x:c r="F41" s="48"/>
      <x:c r="G41" s="1"/>
      <x:c r="H41" s="17" t="str">
        <x:v>G&amp;A growth elasticity</x:v>
      </x:c>
      <x:c r="I41" s="89" t="n">
        <x:v>0.6</x:v>
      </x:c>
      <x:c r="J41" s="17" t="str">
        <x:v>Approved Base</x:v>
      </x:c>
      <x:c r="K41" s="17" t="str">
        <x:v>FY2028–FY2030</x:v>
      </x:c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7" t="str">
        <x:v>G&amp;A growth cap</x:v>
      </x:c>
      <x:c r="I42" s="91" t="n">
        <x:v>0.12</x:v>
      </x:c>
      <x:c r="J42" s="17" t="str">
        <x:v>Approved Base</x:v>
      </x:c>
      <x:c r="K42" s="17" t="str">
        <x:v>FY2028–FY2030</x:v>
      </x:c>
      <x:c r="L42" s="1"/>
      <x:c r="M42" s="1"/>
      <x:c r="N42" s="1"/>
      <x:c r="O42" s="1"/>
    </x:row>
  </x:sheetData>
  <x:mergeCells>
    <x:mergeCell ref="A1:N2"/>
    <x:mergeCell ref="A3:N3"/>
    <x:mergeCell ref="A5:L5"/>
    <x:mergeCell ref="A20:L20"/>
    <x:mergeCell ref="H21:L21"/>
    <x:mergeCell ref="H22:L22"/>
    <x:mergeCell ref="H23:L23"/>
    <x:mergeCell ref="H24:L24"/>
    <x:mergeCell ref="H25:L25"/>
    <x:mergeCell ref="H26:L26"/>
    <x:mergeCell ref="A29:O29"/>
    <x:mergeCell ref="A38:F38"/>
    <x:mergeCell ref="B39:F39"/>
    <x:mergeCell ref="B40:F40"/>
    <x:mergeCell ref="B41:F41"/>
    <x:mergeCell ref="H38:K38"/>
  </x:mergeCells>
  <x:conditionalFormatting sqref="B25:F2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31:F35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6" hidden="0" customWidth="1"/>
    <x:col min="9" max="9" width="12" hidden="0" customWidth="1"/>
    <x:col min="10" max="10" width="34" hidden="0" customWidth="1"/>
    <x:col min="11" max="11" width="3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4" customHeight="1">
      <x:c r="A1" s="4" t="str">
        <x:v>Valuation Model</x:v>
      </x:c>
      <x:c r="B1" s="4" t="str">
        <x:v>Valuation Model</x:v>
      </x:c>
      <x:c r="C1" s="4" t="str">
        <x:v>Valuation Model</x:v>
      </x:c>
      <x:c r="D1" s="4" t="str">
        <x:v>Valuation Model</x:v>
      </x:c>
      <x:c r="E1" s="4" t="str">
        <x:v>Valuation Model</x:v>
      </x:c>
      <x:c r="F1" s="4" t="str">
        <x:v>Valuation Model</x:v>
      </x:c>
      <x:c r="G1" s="4" t="str">
        <x:v>Valuation Model</x:v>
      </x:c>
      <x:c r="H1" s="4" t="str">
        <x:v>Valuation Model</x:v>
      </x:c>
      <x:c r="I1" s="4" t="str">
        <x:v>Valuation Model</x:v>
      </x:c>
      <x:c r="J1" s="4" t="str">
        <x:v>Valuation Model</x:v>
      </x:c>
      <x:c r="K1" s="4" t="str">
        <x:v>Valuation Model</x:v>
      </x:c>
      <x:c r="L1" s="4" t="str">
        <x:v>Valuation Model</x:v>
      </x:c>
      <x:c r="M1" s="4" t="str">
        <x:v>Valuation Model</x:v>
      </x:c>
      <x:c r="N1" s="4" t="str">
        <x:v>Valuation Model</x:v>
      </x:c>
      <x:c r="O1" s="4" t="str">
        <x:v>Valuation Model</x:v>
      </x:c>
      <x:c r="P1" s="4" t="str">
        <x:v>Valuation Model</x:v>
      </x:c>
      <x:c r="Q1" s="4" t="str">
        <x:v>Valuation Model</x:v>
      </x:c>
    </x:row>
    <x:row r="2" ht="24" customHeight="1">
      <x:c r="A2" s="4" t="str">
        <x:v>Valuation Model</x:v>
      </x:c>
      <x:c r="B2" s="4" t="str">
        <x:v>Valuation Model</x:v>
      </x:c>
      <x:c r="C2" s="4" t="str">
        <x:v>Valuation Model</x:v>
      </x:c>
      <x:c r="D2" s="4" t="str">
        <x:v>Valuation Model</x:v>
      </x:c>
      <x:c r="E2" s="4" t="str">
        <x:v>Valuation Model</x:v>
      </x:c>
      <x:c r="F2" s="4" t="str">
        <x:v>Valuation Model</x:v>
      </x:c>
      <x:c r="G2" s="4" t="str">
        <x:v>Valuation Model</x:v>
      </x:c>
      <x:c r="H2" s="4" t="str">
        <x:v>Valuation Model</x:v>
      </x:c>
      <x:c r="I2" s="4" t="str">
        <x:v>Valuation Model</x:v>
      </x:c>
      <x:c r="J2" s="4" t="str">
        <x:v>Valuation Model</x:v>
      </x:c>
      <x:c r="K2" s="4" t="str">
        <x:v>Valuation Model</x:v>
      </x:c>
      <x:c r="L2" s="4" t="str">
        <x:v>Valuation Model</x:v>
      </x:c>
      <x:c r="M2" s="4" t="str">
        <x:v>Valuation Model</x:v>
      </x:c>
      <x:c r="N2" s="4" t="str">
        <x:v>Valuation Model</x:v>
      </x:c>
      <x:c r="O2" s="4" t="str">
        <x:v>Valuation Model</x:v>
      </x:c>
      <x:c r="P2" s="4" t="str">
        <x:v>Valuation Model</x:v>
      </x:c>
      <x:c r="Q2" s="4" t="str">
        <x:v>Valuation Model</x:v>
      </x:c>
    </x:row>
    <x:row r="3">
      <x:c r="A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B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C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D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E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F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G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H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I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J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K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L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M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N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O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P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  <x:c r="Q3" s="8" t="str">
        <x:v>The DCF links to scenario inputs and schedule outputs on Sources &amp; Assumptions. Transition-period formulas are copied across each scenario block. Cash flows use mid-year dates; terminal value is measured at the final explicit year-end.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1" t="str">
        <x:v>Scenario values</x:v>
      </x:c>
      <x:c r="B5" s="11" t="str">
        <x:v>Scenario values</x:v>
      </x:c>
      <x:c r="C5" s="11" t="str">
        <x:v>Scenario values</x:v>
      </x:c>
      <x:c r="D5" s="11" t="str">
        <x:v>Scenario values</x:v>
      </x:c>
      <x:c r="E5" s="11" t="str">
        <x:v>Scenario values</x:v>
      </x:c>
      <x:c r="F5" s="11" t="str">
        <x:v>Scenario values</x:v>
      </x:c>
      <x:c r="G5" s="1"/>
      <x:c r="H5" s="11" t="str">
        <x:v>Base WACC build</x:v>
      </x:c>
      <x:c r="I5" s="11" t="str">
        <x:v>Base WACC build</x:v>
      </x:c>
      <x:c r="J5" s="11" t="str">
        <x:v>Base WACC build</x:v>
      </x:c>
      <x:c r="K5" s="11" t="str">
        <x:v>Base WACC build</x:v>
      </x:c>
      <x:c r="L5" s="1"/>
      <x:c r="M5" s="1"/>
      <x:c r="N5" s="1"/>
      <x:c r="O5" s="1"/>
      <x:c r="P5" s="1"/>
      <x:c r="Q5" s="1"/>
    </x:row>
    <x:row r="6">
      <x:c r="A6" s="16" t="str">
        <x:v>Scenario</x:v>
      </x:c>
      <x:c r="B6" s="16" t="str">
        <x:v>Current value/share</x:v>
      </x:c>
      <x:c r="C6" s="16" t="str">
        <x:v>12-month value/share</x:v>
      </x:c>
      <x:c r="D6" s="16" t="str">
        <x:v>Probability</x:v>
      </x:c>
      <x:c r="E6" s="16" t="str">
        <x:v>Weighted contribution</x:v>
      </x:c>
      <x:c r="F6" s="16" t="str">
        <x:v>Upside / (downside)</x:v>
      </x:c>
      <x:c r="G6" s="1"/>
      <x:c r="H6" s="16" t="str">
        <x:v>Input / calculation</x:v>
      </x:c>
      <x:c r="I6" s="16" t="str">
        <x:v>Value</x:v>
      </x:c>
      <x:c r="J6" s="16" t="str">
        <x:v>Formula / source</x:v>
      </x:c>
      <x:c r="K6" s="16" t="str">
        <x:v>Reason</x:v>
      </x:c>
      <x:c r="L6" s="1"/>
      <x:c r="M6" s="1"/>
      <x:c r="N6" s="1"/>
      <x:c r="O6" s="1"/>
      <x:c r="P6" s="1"/>
      <x:c r="Q6" s="1"/>
    </x:row>
    <x:row r="7">
      <x:c r="A7" s="17" t="str">
        <x:v>Bull</x:v>
      </x:c>
      <x:c r="B7" s="52" t="n">
        <x:f>C27</x:f>
        <x:v>49.580877015650046</x:v>
      </x:c>
      <x:c r="C7" s="52" t="n">
        <x:f>C34</x:f>
        <x:v>54.97769819324878</x:v>
      </x:c>
      <x:c r="D7" s="101" t="n">
        <x:f>C15</x:f>
        <x:v>0.2</x:v>
      </x:c>
      <x:c r="E7" s="52" t="n">
        <x:f>C7*D7</x:f>
        <x:v>10.995539638649756</x:v>
      </x:c>
      <x:c r="F7" s="32" t="n">
        <x:f>C7/'Sources &amp; Assumptions'!$K$112-1</x:f>
        <x:v>0.891217688106253</x:v>
      </x:c>
      <x:c r="G7" s="1"/>
      <x:c r="H7" s="17" t="str">
        <x:v>10-year Treasury</x:v>
      </x:c>
      <x:c r="I7" s="95" t="n">
        <x:f>'Sources &amp; Assumptions'!K115</x:f>
        <x:v>0.0474</x:v>
      </x:c>
      <x:c r="J7" s="17" t="str">
        <x:v>Source input</x:v>
      </x:c>
      <x:c r="K7" s="17" t="str">
        <x:v>Long-duration USD risk-free rate</x:v>
      </x:c>
      <x:c r="L7" s="1"/>
      <x:c r="M7" s="1"/>
      <x:c r="N7" s="1"/>
      <x:c r="O7" s="1"/>
      <x:c r="P7" s="1"/>
      <x:c r="Q7" s="1"/>
    </x:row>
    <x:row r="8">
      <x:c r="A8" s="17" t="str">
        <x:v>Base</x:v>
      </x:c>
      <x:c r="B8" s="52" t="n">
        <x:f>D27</x:f>
        <x:v>30.659611402773315</x:v>
      </x:c>
      <x:c r="C8" s="52" t="n">
        <x:f>D34</x:f>
        <x:v>33.9837814910347</x:v>
      </x:c>
      <x:c r="D8" s="101" t="n">
        <x:f>D15</x:f>
        <x:v>0.5</x:v>
      </x:c>
      <x:c r="E8" s="52" t="n">
        <x:f>C8*D8</x:f>
        <x:v>16.99189074551735</x:v>
      </x:c>
      <x:c r="F8" s="32" t="n">
        <x:f>C8/'Sources &amp; Assumptions'!$K$112-1</x:f>
        <x:v>0.16903273102974525</x:v>
      </x:c>
      <x:c r="G8" s="1"/>
      <x:c r="H8" s="17" t="str">
        <x:v>Equity risk premium</x:v>
      </x:c>
      <x:c r="I8" s="95" t="n">
        <x:f>'Sources &amp; Assumptions'!K116</x:f>
        <x:v>0.0428</x:v>
      </x:c>
      <x:c r="J8" s="17" t="str">
        <x:v>Source input</x:v>
      </x:c>
      <x:c r="K8" s="17" t="str">
        <x:v>Market equity risk premium</x:v>
      </x:c>
      <x:c r="L8" s="1"/>
      <x:c r="M8" s="1"/>
      <x:c r="N8" s="1"/>
      <x:c r="O8" s="1"/>
      <x:c r="P8" s="1"/>
      <x:c r="Q8" s="1"/>
    </x:row>
    <x:row r="9">
      <x:c r="A9" s="17" t="str">
        <x:v>Bear</x:v>
      </x:c>
      <x:c r="B9" s="52" t="n">
        <x:f>E27</x:f>
        <x:v>8.692531721667882</x:v>
      </x:c>
      <x:c r="C9" s="52" t="n">
        <x:f>E34</x:f>
        <x:v>9.609940795151777</x:v>
      </x:c>
      <x:c r="D9" s="101" t="n">
        <x:f>E15</x:f>
        <x:v>0.3</x:v>
      </x:c>
      <x:c r="E9" s="52" t="n">
        <x:f>C9*D9</x:f>
        <x:v>2.8829822385455333</x:v>
      </x:c>
      <x:c r="F9" s="32" t="n">
        <x:f>C9/'Sources &amp; Assumptions'!$K$112-1</x:f>
        <x:v>-0.6694206812813286</x:v>
      </x:c>
      <x:c r="G9" s="1"/>
      <x:c r="H9" s="17" t="str">
        <x:v>Equity beta</x:v>
      </x:c>
      <x:c r="I9" s="96" t="n">
        <x:f>'Sources &amp; Assumptions'!K117</x:f>
        <x:v>1.5</x:v>
      </x:c>
      <x:c r="J9" s="17" t="str">
        <x:v>Source input</x:v>
      </x:c>
      <x:c r="K9" s="17" t="str">
        <x:v>Analyst triangulation</x:v>
      </x:c>
      <x:c r="L9" s="1"/>
      <x:c r="M9" s="1"/>
      <x:c r="N9" s="1"/>
      <x:c r="O9" s="1"/>
      <x:c r="P9" s="1"/>
      <x:c r="Q9" s="1"/>
    </x:row>
    <x:row r="10">
      <x:c r="A10" s="105" t="str">
        <x:v>Probability-weighted</x:v>
      </x:c>
      <x:c r="B10" s="106"/>
      <x:c r="C10" s="106" t="n">
        <x:f>SUM(E7:E9)</x:f>
        <x:v>30.87041262271264</x:v>
      </x:c>
      <x:c r="D10" s="107" t="n">
        <x:f>SUM(D7:D9)</x:f>
        <x:v>1</x:v>
      </x:c>
      <x:c r="E10" s="106" t="n">
        <x:f>C10</x:f>
        <x:v>30.87041262271264</x:v>
      </x:c>
      <x:c r="F10" s="87" t="n">
        <x:f>C10/'Sources &amp; Assumptions'!$K$112-1</x:f>
        <x:v>0.06193369875172472</x:v>
      </x:c>
      <x:c r="G10" s="1"/>
      <x:c r="H10" s="17" t="str">
        <x:v>Cost of equity</x:v>
      </x:c>
      <x:c r="I10" s="95" t="n">
        <x:f>I7+I8*I9</x:f>
        <x:v>0.11159999999999999</x:v>
      </x:c>
      <x:c r="J10" s="17" t="str">
        <x:v>Risk-free rate + beta × ERP</x:v>
      </x:c>
      <x:c r="K10" s="17" t="str">
        <x:v>Required return on equity</x:v>
      </x:c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7" t="str">
        <x:v>Pre-tax cost of debt</x:v>
      </x:c>
      <x:c r="I11" s="95" t="n">
        <x:f>'Sources &amp; Assumptions'!K118+'Sources &amp; Assumptions'!K119</x:f>
        <x:v>0.0538</x:v>
      </x:c>
      <x:c r="J11" s="17" t="str">
        <x:v>SOFR + loan margin</x:v>
      </x:c>
      <x:c r="K11" s="17" t="str">
        <x:v>Marginal borrowing cost</x:v>
      </x:c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7" t="str">
        <x:v>After-tax cost of debt</x:v>
      </x:c>
      <x:c r="I12" s="95" t="n">
        <x:f>I11*(1-'Sources &amp; Assumptions'!K120)</x:f>
        <x:v>0.04035</x:v>
      </x:c>
      <x:c r="J12" s="17" t="str">
        <x:v>Pre-tax cost × (1 − tax rate)</x:v>
      </x:c>
      <x:c r="K12" s="17" t="str">
        <x:v>Interest tax shield is used only in WACC</x:v>
      </x:c>
      <x:c r="L12" s="1"/>
      <x:c r="M12" s="1"/>
      <x:c r="N12" s="1"/>
      <x:c r="O12" s="1"/>
      <x:c r="P12" s="1"/>
      <x:c r="Q12" s="1"/>
    </x:row>
    <x:row r="13" ht="20" customHeight="1">
      <x:c r="A13" s="11" t="str">
        <x:v>DCF bridge</x:v>
      </x:c>
      <x:c r="B13" s="11" t="str">
        <x:v>DCF bridge</x:v>
      </x:c>
      <x:c r="C13" s="11" t="str">
        <x:v>DCF bridge</x:v>
      </x:c>
      <x:c r="D13" s="11" t="str">
        <x:v>DCF bridge</x:v>
      </x:c>
      <x:c r="E13" s="11" t="str">
        <x:v>DCF bridge</x:v>
      </x:c>
      <x:c r="F13" s="11" t="str">
        <x:v>DCF bridge</x:v>
      </x:c>
      <x:c r="G13" s="1"/>
      <x:c r="H13" s="17" t="str">
        <x:v>Equity weight</x:v>
      </x:c>
      <x:c r="I13" s="95" t="n">
        <x:f>('Sources &amp; Assumptions'!K111*'Sources &amp; Assumptions'!K112)/(('Sources &amp; Assumptions'!K111*'Sources &amp; Assumptions'!K112)+'Sources &amp; Assumptions'!K108)</x:f>
        <x:v>0.9676711027378592</x:v>
      </x:c>
      <x:c r="J13" s="17" t="str">
        <x:v>Market equity ÷ total capital</x:v>
      </x:c>
      <x:c r="K13" s="17" t="str">
        <x:v>Market-value capital structure</x:v>
      </x:c>
      <x:c r="L13" s="1"/>
      <x:c r="M13" s="1"/>
      <x:c r="N13" s="1"/>
      <x:c r="O13" s="1"/>
      <x:c r="P13" s="1"/>
      <x:c r="Q13" s="1"/>
    </x:row>
    <x:row r="14">
      <x:c r="A14" s="16" t="str">
        <x:v>Metric</x:v>
      </x:c>
      <x:c r="B14" s="16" t="str">
        <x:v>Unit</x:v>
      </x:c>
      <x:c r="C14" s="16" t="str">
        <x:v>Bull</x:v>
      </x:c>
      <x:c r="D14" s="16" t="str">
        <x:v>Base</x:v>
      </x:c>
      <x:c r="E14" s="16" t="str">
        <x:v>Bear</x:v>
      </x:c>
      <x:c r="F14" s="1"/>
      <x:c r="G14" s="1"/>
      <x:c r="H14" s="17" t="str">
        <x:v>Debt weight</x:v>
      </x:c>
      <x:c r="I14" s="95" t="n">
        <x:f>1-I13</x:f>
        <x:v>0.03232889726214083</x:v>
      </x:c>
      <x:c r="J14" s="17" t="str">
        <x:v>Debt ÷ total capital</x:v>
      </x:c>
      <x:c r="K14" s="17" t="str">
        <x:v>Market-value capital structure</x:v>
      </x:c>
      <x:c r="L14" s="1"/>
      <x:c r="M14" s="1"/>
      <x:c r="N14" s="1"/>
      <x:c r="O14" s="1"/>
      <x:c r="P14" s="1"/>
      <x:c r="Q14" s="1"/>
    </x:row>
    <x:row r="15">
      <x:c r="A15" s="17" t="str">
        <x:v>Probability</x:v>
      </x:c>
      <x:c r="B15" s="17" t="str">
        <x:v>%</x:v>
      </x:c>
      <x:c r="C15" s="32" t="n">
        <x:f>'Sources &amp; Assumptions'!C97</x:f>
        <x:v>0.2</x:v>
      </x:c>
      <x:c r="D15" s="32" t="n">
        <x:f>'Sources &amp; Assumptions'!D97</x:f>
        <x:v>0.5</x:v>
      </x:c>
      <x:c r="E15" s="32" t="n">
        <x:f>'Sources &amp; Assumptions'!E97</x:f>
        <x:v>0.3</x:v>
      </x:c>
      <x:c r="F15" s="1"/>
      <x:c r="G15" s="1"/>
      <x:c r="H15" s="17" t="str">
        <x:v>Calculated WACC</x:v>
      </x:c>
      <x:c r="I15" s="95" t="n">
        <x:f>I10*I13+I12*I14</x:f>
        <x:v>0.10929656607007246</x:v>
      </x:c>
      <x:c r="J15" s="17" t="str">
        <x:v>Weighted equity and debt costs</x:v>
      </x:c>
      <x:c r="K15" s="17" t="str">
        <x:v>Unrounded central estimate</x:v>
      </x:c>
      <x:c r="L15" s="1"/>
      <x:c r="M15" s="1"/>
      <x:c r="N15" s="1"/>
      <x:c r="O15" s="1"/>
      <x:c r="P15" s="1"/>
      <x:c r="Q15" s="1"/>
    </x:row>
    <x:row r="16">
      <x:c r="A16" s="17" t="str">
        <x:v>WACC</x:v>
      </x:c>
      <x:c r="B16" s="17" t="str">
        <x:v>%</x:v>
      </x:c>
      <x:c r="C16" s="32" t="n">
        <x:f>'Sources &amp; Assumptions'!C98</x:f>
        <x:v>0.11</x:v>
      </x:c>
      <x:c r="D16" s="32" t="n">
        <x:f>'Sources &amp; Assumptions'!D98</x:f>
        <x:v>0.11</x:v>
      </x:c>
      <x:c r="E16" s="32" t="n">
        <x:f>'Sources &amp; Assumptions'!E98</x:f>
        <x:v>0.11</x:v>
      </x:c>
      <x:c r="F16" s="1"/>
      <x:c r="G16" s="1"/>
      <x:c r="H16" s="17" t="str">
        <x:v>Selected WACC</x:v>
      </x:c>
      <x:c r="I16" s="95" t="n">
        <x:f>'Sources &amp; Assumptions'!D98</x:f>
        <x:v>0.11</x:v>
      </x:c>
      <x:c r="J16" s="17" t="str">
        <x:v>Rounded calculated WACC</x:v>
      </x:c>
      <x:c r="K16" s="17" t="str">
        <x:v>DCF discount rate</x:v>
      </x:c>
      <x:c r="L16" s="1"/>
      <x:c r="M16" s="1"/>
      <x:c r="N16" s="1"/>
      <x:c r="O16" s="1"/>
      <x:c r="P16" s="1"/>
      <x:c r="Q16" s="1"/>
    </x:row>
    <x:row r="17">
      <x:c r="A17" s="17" t="str">
        <x:v>Perpetual growth</x:v>
      </x:c>
      <x:c r="B17" s="17" t="str">
        <x:v>%</x:v>
      </x:c>
      <x:c r="C17" s="32" t="n">
        <x:f>'Sources &amp; Assumptions'!C99</x:f>
        <x:v>0.035</x:v>
      </x:c>
      <x:c r="D17" s="32" t="n">
        <x:f>'Sources &amp; Assumptions'!D99</x:f>
        <x:v>0.03</x:v>
      </x:c>
      <x:c r="E17" s="32" t="n">
        <x:f>'Sources &amp; Assumptions'!E99</x:f>
        <x:v>0.025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7" t="str">
        <x:v>PV of FY2026 remaining stub</x:v>
      </x:c>
      <x:c r="B18" s="17" t="str">
        <x:v>$m</x:v>
      </x:c>
      <x:c r="C18" s="33" t="n">
        <x:f>(('Sources &amp; Assumptions'!C134-'Sources &amp; Assumptions'!$K$99)*'Sources &amp; Assumptions'!$K$100)/(1+C16)^((('Sources &amp; Assumptions'!$K$97+1)+INT((DATE(2026,12,31)-('Sources &amp; Assumptions'!$K$97+1))/2)-'Sources &amp; Assumptions'!$K$97)/365)</x:f>
        <x:v>53.367414317624835</x:v>
      </x:c>
      <x:c r="D18" s="33" t="n">
        <x:f>(('Sources &amp; Assumptions'!C149-'Sources &amp; Assumptions'!$K$99)*'Sources &amp; Assumptions'!$K$100)/(1+D16)^((('Sources &amp; Assumptions'!$K$97+1)+INT((DATE(2026,12,31)-('Sources &amp; Assumptions'!$K$97+1))/2)-'Sources &amp; Assumptions'!$K$97)/365)</x:f>
        <x:v>37.238655038753954</x:v>
      </x:c>
      <x:c r="E18" s="33" t="n">
        <x:f>(('Sources &amp; Assumptions'!C164-'Sources &amp; Assumptions'!$K$99)*'Sources &amp; Assumptions'!$K$100)/(1+E16)^((('Sources &amp; Assumptions'!$K$97+1)+INT((DATE(2026,12,31)-('Sources &amp; Assumptions'!$K$97+1))/2)-'Sources &amp; Assumptions'!$K$97)/365)</x:f>
        <x:v>20.839862670402457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7" t="str">
        <x:v>PV of FY2027–FY2029 FCFF</x:v>
      </x:c>
      <x:c r="B19" s="17" t="str">
        <x:v>$m</x:v>
      </x:c>
      <x:c r="C19" s="33" t="n">
        <x:f>'Sources &amp; Assumptions'!D134/(1+C16)^((DATE(2027,6,30)-'Sources &amp; Assumptions'!$K$97)/365)+'Sources &amp; Assumptions'!E134/(1+C16)^((DATE(2028,6,30)-'Sources &amp; Assumptions'!$K$97)/365)+'Sources &amp; Assumptions'!F134/(1+C16)^((DATE(2029,6,30)-'Sources &amp; Assumptions'!$K$97)/365)</x:f>
        <x:v>741.983736586059</x:v>
      </x:c>
      <x:c r="D19" s="33" t="n">
        <x:f>'Sources &amp; Assumptions'!D149/(1+D16)^((DATE(2027,6,30)-'Sources &amp; Assumptions'!$K$97)/365)+'Sources &amp; Assumptions'!E149/(1+D16)^((DATE(2028,6,30)-'Sources &amp; Assumptions'!$K$97)/365)+'Sources &amp; Assumptions'!F149/(1+D16)^((DATE(2029,6,30)-'Sources &amp; Assumptions'!$K$97)/365)</x:f>
        <x:v>551.4594611067847</x:v>
      </x:c>
      <x:c r="E19" s="33" t="n">
        <x:f>'Sources &amp; Assumptions'!D164/(1+E16)^((DATE(2027,6,30)-'Sources &amp; Assumptions'!$K$97)/365)+'Sources &amp; Assumptions'!E164/(1+E16)^((DATE(2028,6,30)-'Sources &amp; Assumptions'!$K$97)/365)+'Sources &amp; Assumptions'!F164/(1+E16)^((DATE(2029,6,30)-'Sources &amp; Assumptions'!$K$97)/365)</x:f>
        <x:v>319.8233408258758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7" t="str">
        <x:v>PV of transition-period FCFF</x:v>
      </x:c>
      <x:c r="B20" s="17" t="str">
        <x:v>$m</x:v>
      </x:c>
      <x:c r="C20" s="33" t="n">
        <x:f>SUM(C65:N65)</x:f>
        <x:v>5511.543520918576</x:v>
      </x:c>
      <x:c r="D20" s="33" t="n">
        <x:f>SUM(C102:N102)</x:f>
        <x:v>3546.344607526023</x:v>
      </x:c>
      <x:c r="E20" s="33" t="n">
        <x:f>SUM(C139:J139)</x:f>
        <x:v>740.3312067535625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7" t="str">
        <x:v>PV of terminal value</x:v>
      </x:c>
      <x:c r="B21" s="17" t="str">
        <x:v>$m</x:v>
      </x:c>
      <x:c r="C21" s="33" t="n">
        <x:f>N69</x:f>
        <x:v>6396.861230145541</x:v>
      </x:c>
      <x:c r="D21" s="33" t="n">
        <x:f>N106</x:f>
        <x:v>3698.117936572264</x:v>
      </x:c>
      <x:c r="E21" s="33" t="n">
        <x:f>J143</x:f>
        <x:v>1097.5363770033334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7" t="str">
        <x:v>DCF enterprise value at valuation date</x:v>
      </x:c>
      <x:c r="B22" s="17" t="str">
        <x:v>$m</x:v>
      </x:c>
      <x:c r="C22" s="33" t="n">
        <x:f>SUM(C18:C21)</x:f>
        <x:v>12703.755901967801</x:v>
      </x:c>
      <x:c r="D22" s="33" t="n">
        <x:f>SUM(D18:D21)</x:f>
        <x:v>7833.160660243826</x:v>
      </x:c>
      <x:c r="E22" s="33" t="n">
        <x:f>SUM(E18:E21)</x:f>
        <x:v>2178.530787253174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7" t="str">
        <x:v>Opening cash</x:v>
      </x:c>
      <x:c r="B23" s="17" t="str">
        <x:v>$m</x:v>
      </x:c>
      <x:c r="C23" s="33" t="n">
        <x:f>'Sources &amp; Assumptions'!$K$107</x:f>
        <x:v>359.952</x:v>
      </x:c>
      <x:c r="D23" s="33" t="n">
        <x:f>'Sources &amp; Assumptions'!$K$107</x:f>
        <x:v>359.952</x:v>
      </x:c>
      <x:c r="E23" s="33" t="n">
        <x:f>'Sources &amp; Assumptions'!$K$107</x:f>
        <x:v>359.952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7" t="str">
        <x:v>Debt and acquisition liabilities</x:v>
      </x:c>
      <x:c r="B24" s="17" t="str">
        <x:v>$m</x:v>
      </x:c>
      <x:c r="C24" s="33" t="n">
        <x:f>SUM('Sources &amp; Assumptions'!$K$108:$K$110)</x:f>
        <x:v>300.905</x:v>
      </x:c>
      <x:c r="D24" s="33" t="n">
        <x:f>SUM('Sources &amp; Assumptions'!$K$108:$K$110)</x:f>
        <x:v>300.905</x:v>
      </x:c>
      <x:c r="E24" s="33" t="n">
        <x:f>SUM('Sources &amp; Assumptions'!$K$108:$K$110)</x:f>
        <x:v>300.905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7" t="str">
        <x:v>Common equity value at valuation date</x:v>
      </x:c>
      <x:c r="B25" s="17" t="str">
        <x:v>$m</x:v>
      </x:c>
      <x:c r="C25" s="33" t="n">
        <x:f>C22+C23-C24</x:f>
        <x:v>12762.8029019678</x:v>
      </x:c>
      <x:c r="D25" s="33" t="n">
        <x:f>D22+D23-D24</x:f>
        <x:v>7892.207660243826</x:v>
      </x:c>
      <x:c r="E25" s="33" t="n">
        <x:f>E22+E23-E24</x:f>
        <x:v>2237.5777872531744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7" t="str">
        <x:v>Common-equity claims</x:v>
      </x:c>
      <x:c r="B26" s="17" t="str">
        <x:v>m shares</x:v>
      </x:c>
      <x:c r="C26" s="109" t="n">
        <x:f>'Sources &amp; Assumptions'!$K$111</x:f>
        <x:v>257.413819</x:v>
      </x:c>
      <x:c r="D26" s="109" t="n">
        <x:f>'Sources &amp; Assumptions'!$K$111</x:f>
        <x:v>257.413819</x:v>
      </x:c>
      <x:c r="E26" s="109" t="n">
        <x:f>'Sources &amp; Assumptions'!$K$111</x:f>
        <x:v>257.413819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7" t="str">
        <x:v>Current value per share</x:v>
      </x:c>
      <x:c r="B27" s="17" t="str">
        <x:v>$/share</x:v>
      </x:c>
      <x:c r="C27" s="52" t="n">
        <x:f>C25/C26</x:f>
        <x:v>49.580877015650046</x:v>
      </x:c>
      <x:c r="D27" s="52" t="n">
        <x:f>D25/D26</x:f>
        <x:v>30.659611402773315</x:v>
      </x:c>
      <x:c r="E27" s="52" t="n">
        <x:f>E25/E26</x:f>
        <x:v>8.692531721667882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7" t="str">
        <x:v>Target-date cash</x:v>
      </x:c>
      <x:c r="B28" s="17" t="str">
        <x:v>$m</x:v>
      </x:c>
      <x:c r="C28" s="52" t="n">
        <x:f>C23+('Sources &amp; Assumptions'!C134-'Sources &amp; Assumptions'!$K$99)*'Sources &amp; Assumptions'!$K$100+'Sources &amp; Assumptions'!D134</x:f>
        <x:v>637.519436627529</x:v>
      </x:c>
      <x:c r="D28" s="52" t="n">
        <x:f>D23+('Sources &amp; Assumptions'!C149-'Sources &amp; Assumptions'!$K$99)*'Sources &amp; Assumptions'!$K$100+'Sources &amp; Assumptions'!D149</x:f>
        <x:v>569.7088559408785</x:v>
      </x:c>
      <x:c r="E28" s="52" t="n">
        <x:f>E23+('Sources &amp; Assumptions'!C164-'Sources &amp; Assumptions'!$K$99)*'Sources &amp; Assumptions'!$K$100+'Sources &amp; Assumptions'!D164</x:f>
        <x:v>487.28697295158247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7" t="str">
        <x:v>PV of FY2028–FY2029 FCFF at target</x:v>
      </x:c>
      <x:c r="B29" s="17" t="str">
        <x:v>$m</x:v>
      </x:c>
      <x:c r="C29" s="52" t="n">
        <x:f>'Sources &amp; Assumptions'!E134/(1+C16)^((DATE(2028,6,30)-'Sources &amp; Assumptions'!$K$98)/365)+'Sources &amp; Assumptions'!F134/(1+C16)^((DATE(2029,6,30)-'Sources &amp; Assumptions'!$K$98)/365)</x:f>
        <x:v>597.0755414448693</x:v>
      </x:c>
      <x:c r="D29" s="52" t="n">
        <x:f>'Sources &amp; Assumptions'!E149/(1+D16)^((DATE(2028,6,30)-'Sources &amp; Assumptions'!$K$98)/365)+'Sources &amp; Assumptions'!F149/(1+D16)^((DATE(2029,6,30)-'Sources &amp; Assumptions'!$K$98)/365)</x:f>
        <x:v>437.7376977787799</x:v>
      </x:c>
      <x:c r="E29" s="52" t="n">
        <x:f>'Sources &amp; Assumptions'!E164/(1+E16)^((DATE(2028,6,30)-'Sources &amp; Assumptions'!$K$98)/365)+'Sources &amp; Assumptions'!F164/(1+E16)^((DATE(2029,6,30)-'Sources &amp; Assumptions'!$K$98)/365)</x:f>
        <x:v>247.3165695221786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7" t="str">
        <x:v>PV of transition-period FCFF at target</x:v>
      </x:c>
      <x:c r="B30" s="17" t="str">
        <x:v>$m</x:v>
      </x:c>
      <x:c r="C30" s="52" t="n">
        <x:f>SUM(C67:N67)</x:f>
        <x:v>6117.813308219619</x:v>
      </x:c>
      <x:c r="D30" s="52" t="n">
        <x:f>SUM(C104:N104)</x:f>
        <x:v>3936.4425143538856</x:v>
      </x:c>
      <x:c r="E30" s="52" t="n">
        <x:f>SUM(C141:J141)</x:f>
        <x:v>821.7676394964544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7" t="str">
        <x:v>PV of terminal value at target</x:v>
      </x:c>
      <x:c r="B31" s="17" t="str">
        <x:v>$m</x:v>
      </x:c>
      <x:c r="C31" s="52" t="n">
        <x:f>N70</x:f>
        <x:v>7100.51596546155</x:v>
      </x:c>
      <x:c r="D31" s="52" t="n">
        <x:f>N107</x:f>
        <x:v>4104.910909595213</x:v>
      </x:c>
      <x:c r="E31" s="52" t="n">
        <x:f>J144</x:f>
        <x:v>1218.2653784737004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7" t="str">
        <x:v>DCF enterprise value at target</x:v>
      </x:c>
      <x:c r="B32" s="17" t="str">
        <x:v>$m</x:v>
      </x:c>
      <x:c r="C32" s="52" t="n">
        <x:f>SUM(C29:C31)</x:f>
        <x:v>13815.40481512604</x:v>
      </x:c>
      <x:c r="D32" s="52" t="n">
        <x:f>SUM(D29:D31)</x:f>
        <x:v>8479.091121727877</x:v>
      </x:c>
      <x:c r="E32" s="52" t="n">
        <x:f>SUM(E29:E31)</x:f>
        <x:v>2287.3495874923333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7" t="str">
        <x:v>Common equity value at target</x:v>
      </x:c>
      <x:c r="B33" s="17" t="str">
        <x:v>$m</x:v>
      </x:c>
      <x:c r="C33" s="52" t="n">
        <x:f>C32+C28-C24</x:f>
        <x:v>14152.019251753567</x:v>
      </x:c>
      <x:c r="D33" s="52" t="n">
        <x:f>D32+D28-D24</x:f>
        <x:v>8747.894977668755</x:v>
      </x:c>
      <x:c r="E33" s="52" t="n">
        <x:f>E32+E28-E24</x:f>
        <x:v>2473.7315604439154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7" t="str">
        <x:v>12-month value per share</x:v>
      </x:c>
      <x:c r="B34" s="17" t="str">
        <x:v>$/share</x:v>
      </x:c>
      <x:c r="C34" s="52" t="n">
        <x:f>C33/C26</x:f>
        <x:v>54.97769819324878</x:v>
      </x:c>
      <x:c r="D34" s="52" t="n">
        <x:f>D33/D26</x:f>
        <x:v>33.9837814910347</x:v>
      </x:c>
      <x:c r="E34" s="52" t="n">
        <x:f>E33/E26</x:f>
        <x:v>9.609940795151777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0" customHeight="1">
      <x:c r="A39" s="11" t="str">
        <x:v>Bull scenario operating transition and FCFF</x:v>
      </x:c>
      <x:c r="B39" s="11" t="str">
        <x:v>Bull scenario operating transition and FCFF</x:v>
      </x:c>
      <x:c r="C39" s="11" t="str">
        <x:v>Bull scenario operating transition and FCFF</x:v>
      </x:c>
      <x:c r="D39" s="11" t="str">
        <x:v>Bull scenario operating transition and FCFF</x:v>
      </x:c>
      <x:c r="E39" s="11" t="str">
        <x:v>Bull scenario operating transition and FCFF</x:v>
      </x:c>
      <x:c r="F39" s="11" t="str">
        <x:v>Bull scenario operating transition and FCFF</x:v>
      </x:c>
      <x:c r="G39" s="11" t="str">
        <x:v>Bull scenario operating transition and FCFF</x:v>
      </x:c>
      <x:c r="H39" s="11" t="str">
        <x:v>Bull scenario operating transition and FCFF</x:v>
      </x:c>
      <x:c r="I39" s="11" t="str">
        <x:v>Bull scenario operating transition and FCFF</x:v>
      </x:c>
      <x:c r="J39" s="11" t="str">
        <x:v>Bull scenario operating transition and FCFF</x:v>
      </x:c>
      <x:c r="K39" s="11" t="str">
        <x:v>Bull scenario operating transition and FCFF</x:v>
      </x:c>
      <x:c r="L39" s="11" t="str">
        <x:v>Bull scenario operating transition and FCFF</x:v>
      </x:c>
      <x:c r="M39" s="11" t="str">
        <x:v>Bull scenario operating transition and FCFF</x:v>
      </x:c>
      <x:c r="N39" s="11" t="str">
        <x:v>Bull scenario operating transition and FCFF</x:v>
      </x:c>
      <x:c r="O39" s="11" t="str">
        <x:v>Bull scenario operating transition and FCFF</x:v>
      </x:c>
      <x:c r="P39" s="11" t="str">
        <x:v>Bull scenario operating transition and FCFF</x:v>
      </x:c>
      <x:c r="Q39" s="11" t="str">
        <x:v>Bull scenario operating transition and FCFF</x:v>
      </x:c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6" t="str">
        <x:v>Line item</x:v>
      </x:c>
      <x:c r="B41" s="16" t="str">
        <x:v>Unit</x:v>
      </x:c>
      <x:c r="C41" s="16" t="n">
        <x:v>2030</x:v>
      </x:c>
      <x:c r="D41" s="16" t="n">
        <x:f>C41+1</x:f>
        <x:v>2031</x:v>
      </x:c>
      <x:c r="E41" s="16" t="n">
        <x:f>D41+1</x:f>
        <x:v>2032</x:v>
      </x:c>
      <x:c r="F41" s="16" t="n">
        <x:f>E41+1</x:f>
        <x:v>2033</x:v>
      </x:c>
      <x:c r="G41" s="16" t="n">
        <x:f>F41+1</x:f>
        <x:v>2034</x:v>
      </x:c>
      <x:c r="H41" s="16" t="n">
        <x:f>G41+1</x:f>
        <x:v>2035</x:v>
      </x:c>
      <x:c r="I41" s="16" t="n">
        <x:f>H41+1</x:f>
        <x:v>2036</x:v>
      </x:c>
      <x:c r="J41" s="16" t="n">
        <x:f>I41+1</x:f>
        <x:v>2037</x:v>
      </x:c>
      <x:c r="K41" s="16" t="n">
        <x:f>J41+1</x:f>
        <x:v>2038</x:v>
      </x:c>
      <x:c r="L41" s="16" t="n">
        <x:f>K41+1</x:f>
        <x:v>2039</x:v>
      </x:c>
      <x:c r="M41" s="16" t="n">
        <x:f>L41+1</x:f>
        <x:v>2040</x:v>
      </x:c>
      <x:c r="N41" s="16" t="n">
        <x:f>M41+1</x:f>
        <x:v>2041</x:v>
      </x:c>
      <x:c r="O41" s="1"/>
      <x:c r="P41" s="1"/>
      <x:c r="Q41" s="1"/>
    </x:row>
    <x:row r="42">
      <x:c r="A42" s="17" t="str">
        <x:v>Revenue growth</x:v>
      </x:c>
      <x:c r="B42" s="17" t="str">
        <x:v>%</x:v>
      </x:c>
      <x:c r="C42" s="32" t="n">
        <x:f>'Sources &amp; Assumptions'!$C$102</x:f>
        <x:v>0.19500000000000006</x:v>
      </x:c>
      <x:c r="D42" s="32" t="n">
        <x:f>'Sources &amp; Assumptions'!$C$103</x:f>
        <x:v>0.175</x:v>
      </x:c>
      <x:c r="E42" s="32" t="n">
        <x:f>IF(E$41&lt;='Sources &amp; Assumptions'!$C$100,$D42-($D42-'Sources &amp; Assumptions'!$C$104)*(E$41-$D$41)/('Sources &amp; Assumptions'!$C$100-$D$41),'Sources &amp; Assumptions'!$C$99)</x:f>
        <x:v>0.16055555555555553</x:v>
      </x:c>
      <x:c r="F42" s="32" t="n">
        <x:f>IF(F$41&lt;='Sources &amp; Assumptions'!$C$100,$D42-($D42-'Sources &amp; Assumptions'!$C$104)*(F$41-$D$41)/('Sources &amp; Assumptions'!$C$100-$D$41),'Sources &amp; Assumptions'!$C$99)</x:f>
        <x:v>0.1461111111111111</x:v>
      </x:c>
      <x:c r="G42" s="32" t="n">
        <x:f>IF(G$41&lt;='Sources &amp; Assumptions'!$C$100,$D42-($D42-'Sources &amp; Assumptions'!$C$104)*(G$41-$D$41)/('Sources &amp; Assumptions'!$C$100-$D$41),'Sources &amp; Assumptions'!$C$99)</x:f>
        <x:v>0.13166666666666665</x:v>
      </x:c>
      <x:c r="H42" s="32" t="n">
        <x:f>IF(H$41&lt;='Sources &amp; Assumptions'!$C$100,$D42-($D42-'Sources &amp; Assumptions'!$C$104)*(H$41-$D$41)/('Sources &amp; Assumptions'!$C$100-$D$41),'Sources &amp; Assumptions'!$C$99)</x:f>
        <x:v>0.1172222222222222</x:v>
      </x:c>
      <x:c r="I42" s="32" t="n">
        <x:f>IF(I$41&lt;='Sources &amp; Assumptions'!$C$100,$D42-($D42-'Sources &amp; Assumptions'!$C$104)*(I$41-$D$41)/('Sources &amp; Assumptions'!$C$100-$D$41),'Sources &amp; Assumptions'!$C$99)</x:f>
        <x:v>0.10277777777777776</x:v>
      </x:c>
      <x:c r="J42" s="32" t="n">
        <x:f>IF(J$41&lt;='Sources &amp; Assumptions'!$C$100,$D42-($D42-'Sources &amp; Assumptions'!$C$104)*(J$41-$D$41)/('Sources &amp; Assumptions'!$C$100-$D$41),'Sources &amp; Assumptions'!$C$99)</x:f>
        <x:v>0.08833333333333332</x:v>
      </x:c>
      <x:c r="K42" s="32" t="n">
        <x:f>IF(K$41&lt;='Sources &amp; Assumptions'!$C$100,$D42-($D42-'Sources &amp; Assumptions'!$C$104)*(K$41-$D$41)/('Sources &amp; Assumptions'!$C$100-$D$41),'Sources &amp; Assumptions'!$C$99)</x:f>
        <x:v>0.07388888888888888</x:v>
      </x:c>
      <x:c r="L42" s="32" t="n">
        <x:f>IF(L$41&lt;='Sources &amp; Assumptions'!$C$100,$D42-($D42-'Sources &amp; Assumptions'!$C$104)*(L$41-$D$41)/('Sources &amp; Assumptions'!$C$100-$D$41),'Sources &amp; Assumptions'!$C$99)</x:f>
        <x:v>0.059444444444444425</x:v>
      </x:c>
      <x:c r="M42" s="32" t="n">
        <x:f>IF(M$41&lt;='Sources &amp; Assumptions'!$C$100,$D42-($D42-'Sources &amp; Assumptions'!$C$104)*(M$41-$D$41)/('Sources &amp; Assumptions'!$C$100-$D$41),'Sources &amp; Assumptions'!$C$99)</x:f>
        <x:v>0.044999999999999984</x:v>
      </x:c>
      <x:c r="N42" s="32" t="n">
        <x:f>IF(N$41&lt;='Sources &amp; Assumptions'!$C$100,$D42-($D42-'Sources &amp; Assumptions'!$C$104)*(N$41-$D$41)/('Sources &amp; Assumptions'!$C$100-$D$41),'Sources &amp; Assumptions'!$C$99)</x:f>
        <x:v>0.035</x:v>
      </x:c>
      <x:c r="O42" s="1"/>
      <x:c r="P42" s="1"/>
      <x:c r="Q42" s="1"/>
    </x:row>
    <x:row r="43">
      <x:c r="A43" s="17" t="str">
        <x:v>Maturity progress</x:v>
      </x:c>
      <x:c r="B43" s="17" t="str">
        <x:v>%</x:v>
      </x:c>
      <x:c r="C43" s="32" t="n">
        <x:f>0</x:f>
        <x:v>0</x:v>
      </x:c>
      <x:c r="D43" s="32" t="n">
        <x:f>MIN(1,($C42-D42)/($C42-'Sources &amp; Assumptions'!$C$104))</x:f>
        <x:v>0.13333333333333375</x:v>
      </x:c>
      <x:c r="E43" s="32" t="n">
        <x:f>MIN(1,($C42-E42)/($C42-'Sources &amp; Assumptions'!$C$104))</x:f>
        <x:v>0.22962962962963007</x:v>
      </x:c>
      <x:c r="F43" s="32" t="n">
        <x:f>MIN(1,($C42-F42)/($C42-'Sources &amp; Assumptions'!$C$104))</x:f>
        <x:v>0.3259259259259262</x:v>
      </x:c>
      <x:c r="G43" s="32" t="n">
        <x:f>MIN(1,($C42-G42)/($C42-'Sources &amp; Assumptions'!$C$104))</x:f>
        <x:v>0.4222222222222225</x:v>
      </x:c>
      <x:c r="H43" s="32" t="n">
        <x:f>MIN(1,($C42-H42)/($C42-'Sources &amp; Assumptions'!$C$104))</x:f>
        <x:v>0.5185185185185188</x:v>
      </x:c>
      <x:c r="I43" s="32" t="n">
        <x:f>MIN(1,($C42-I42)/($C42-'Sources &amp; Assumptions'!$C$104))</x:f>
        <x:v>0.614814814814815</x:v>
      </x:c>
      <x:c r="J43" s="32" t="n">
        <x:f>MIN(1,($C42-J42)/($C42-'Sources &amp; Assumptions'!$C$104))</x:f>
        <x:v>0.7111111111111112</x:v>
      </x:c>
      <x:c r="K43" s="32" t="n">
        <x:f>MIN(1,($C42-K42)/($C42-'Sources &amp; Assumptions'!$C$104))</x:f>
        <x:v>0.8074074074074075</x:v>
      </x:c>
      <x:c r="L43" s="32" t="n">
        <x:f>MIN(1,($C42-L42)/($C42-'Sources &amp; Assumptions'!$C$104))</x:f>
        <x:v>0.9037037037037039</x:v>
      </x:c>
      <x:c r="M43" s="32" t="n">
        <x:f>MIN(1,($C42-M42)/($C42-'Sources &amp; Assumptions'!$C$104))</x:f>
        <x:v>1</x:v>
      </x:c>
      <x:c r="N43" s="32" t="n">
        <x:f>MIN(1,($C42-N42)/($C42-'Sources &amp; Assumptions'!$C$104))</x:f>
        <x:v>1</x:v>
      </x:c>
      <x:c r="O43" s="1"/>
      <x:c r="P43" s="1"/>
      <x:c r="Q43" s="1"/>
    </x:row>
    <x:row r="44">
      <x:c r="A44" s="17" t="str">
        <x:v>Revenue</x:v>
      </x:c>
      <x:c r="B44" s="17" t="str">
        <x:v>$m</x:v>
      </x:c>
      <x:c r="C44" s="33" t="n">
        <x:f>'Sources &amp; Assumptions'!G124</x:f>
        <x:v>3989.80669932</x:v>
      </x:c>
      <x:c r="D44" s="33" t="n">
        <x:f>C44*(1+D42)</x:f>
        <x:v>4688.022871701</x:v>
      </x:c>
      <x:c r="E44" s="33" t="n">
        <x:f>D44*(1+E42)</x:f>
        <x:v>5440.7109883241055</x:v>
      </x:c>
      <x:c r="F44" s="33" t="n">
        <x:f>E44*(1+F42)</x:f>
        <x:v>6235.659316062572</x:v>
      </x:c>
      <x:c r="G44" s="33" t="n">
        <x:f>F44*(1+G42)</x:f>
        <x:v>7056.687792677477</x:v>
      </x:c>
      <x:c r="H44" s="33" t="n">
        <x:f>G44*(1+H42)</x:f>
        <x:v>7883.888417263558</x:v>
      </x:c>
      <x:c r="I44" s="33" t="n">
        <x:f>H44*(1+I42)</x:f>
        <x:v>8694.176949037868</x:v>
      </x:c>
      <x:c r="J44" s="33" t="n">
        <x:f>I44*(1+J42)</x:f>
        <x:v>9462.162579536214</x:v>
      </x:c>
      <x:c r="K44" s="33" t="n">
        <x:f>J44*(1+K42)</x:f>
        <x:v>10161.311259024167</x:v>
      </x:c>
      <x:c r="L44" s="33" t="n">
        <x:f>K44*(1+L42)</x:f>
        <x:v>10765.344761643937</x:v>
      </x:c>
      <x:c r="M44" s="33" t="n">
        <x:f>L44*(1+M42)</x:f>
        <x:v>11249.785275917913</x:v>
      </x:c>
      <x:c r="N44" s="33" t="n">
        <x:f>M44*(1+N42)</x:f>
        <x:v>11643.52776057504</x:v>
      </x:c>
      <x:c r="O44" s="1"/>
      <x:c r="P44" s="1"/>
      <x:c r="Q44" s="1"/>
    </x:row>
    <x:row r="45">
      <x:c r="A45" s="17" t="str">
        <x:v>Increase in revenue</x:v>
      </x:c>
      <x:c r="B45" s="17" t="str">
        <x:v>$m</x:v>
      </x:c>
      <x:c r="C45" s="33"/>
      <x:c r="D45" s="33" t="n">
        <x:f>D44-C44</x:f>
        <x:v>698.2161723810004</x:v>
      </x:c>
      <x:c r="E45" s="33" t="n">
        <x:f>E44-D44</x:f>
        <x:v>752.6881166231051</x:v>
      </x:c>
      <x:c r="F45" s="33" t="n">
        <x:f>F44-E44</x:f>
        <x:v>794.9483277384661</x:v>
      </x:c>
      <x:c r="G45" s="33" t="n">
        <x:f>G44-F44</x:f>
        <x:v>821.0284766149052</x:v>
      </x:c>
      <x:c r="H45" s="33" t="n">
        <x:f>H44-G44</x:f>
        <x:v>827.2006245860812</x:v>
      </x:c>
      <x:c r="I45" s="33" t="n">
        <x:f>I44-H44</x:f>
        <x:v>810.2885317743103</x:v>
      </x:c>
      <x:c r="J45" s="33" t="n">
        <x:f>J44-I44</x:f>
        <x:v>767.9856304983459</x:v>
      </x:c>
      <x:c r="K45" s="33" t="n">
        <x:f>K44-J44</x:f>
        <x:v>699.1486794879529</x:v>
      </x:c>
      <x:c r="L45" s="33" t="n">
        <x:f>L44-K44</x:f>
        <x:v>604.0335026197699</x:v>
      </x:c>
      <x:c r="M45" s="33" t="n">
        <x:f>M44-L44</x:f>
        <x:v>484.4405142739761</x:v>
      </x:c>
      <x:c r="N45" s="33" t="n">
        <x:f>N44-M44</x:f>
        <x:v>393.7424846571266</x:v>
      </x:c>
      <x:c r="O45" s="1"/>
      <x:c r="P45" s="1"/>
      <x:c r="Q45" s="1"/>
    </x:row>
    <x:row r="46">
      <x:c r="A46" s="17" t="str">
        <x:v>Gross profit</x:v>
      </x:c>
      <x:c r="B46" s="17" t="str">
        <x:v>$m</x:v>
      </x:c>
      <x:c r="C46" s="33" t="n">
        <x:f>'Sources &amp; Assumptions'!G125</x:f>
        <x:v>2363.7727025987997</x:v>
      </x:c>
      <x:c r="D46" s="33" t="n">
        <x:f>IF(D$41&gt;'Sources &amp; Assumptions'!$C$100,D44*C46/C44,C46+D47*D45)</x:f>
        <x:v>2775.72024430359</x:v>
      </x:c>
      <x:c r="E46" s="33" t="n">
        <x:f>IF(E$41&gt;'Sources &amp; Assumptions'!$C$100,E44*D46/D44,D46+E47*E45)</x:f>
        <x:v>3219.806233111222</x:v>
      </x:c>
      <x:c r="F46" s="33" t="n">
        <x:f>IF(F$41&gt;'Sources &amp; Assumptions'!$C$100,F44*E46/E44,E46+F47*F45)</x:f>
        <x:v>3688.8257464769167</x:v>
      </x:c>
      <x:c r="G46" s="33" t="n">
        <x:f>IF(G$41&gt;'Sources &amp; Assumptions'!$C$100,G44*F46/F44,F46+G47*G45)</x:f>
        <x:v>4173.2325476797105</x:v>
      </x:c>
      <x:c r="H46" s="33" t="n">
        <x:f>IF(H$41&gt;'Sources &amp; Assumptions'!$C$100,H44*G46/G44,G46+H47*H45)</x:f>
        <x:v>4661.280916185498</x:v>
      </x:c>
      <x:c r="I46" s="33" t="n">
        <x:f>IF(I$41&gt;'Sources &amp; Assumptions'!$C$100,I44*H46/H44,H46+I47*I45)</x:f>
        <x:v>5139.351149932341</x:v>
      </x:c>
      <x:c r="J46" s="33" t="n">
        <x:f>IF(J$41&gt;'Sources &amp; Assumptions'!$C$100,J44*I46/I44,I46+J47*J45)</x:f>
        <x:v>5592.462671926365</x:v>
      </x:c>
      <x:c r="K46" s="33" t="n">
        <x:f>IF(K$41&gt;'Sources &amp; Assumptions'!$C$100,K44*J46/J44,J46+K47*K45)</x:f>
        <x:v>6004.960392824258</x:v>
      </x:c>
      <x:c r="L46" s="33" t="n">
        <x:f>IF(L$41&gt;'Sources &amp; Assumptions'!$C$100,L44*K46/K44,K46+L47*L45)</x:f>
        <x:v>6361.340159369922</x:v>
      </x:c>
      <x:c r="M46" s="33" t="n">
        <x:f>IF(M$41&gt;'Sources &amp; Assumptions'!$C$100,M44*L46/L44,L46+M47*M45)</x:f>
        <x:v>6647.160062791568</x:v>
      </x:c>
      <x:c r="N46" s="33" t="n">
        <x:f>IF(N$41&gt;'Sources &amp; Assumptions'!$C$100,N44*M46/M44,M46+N47*N45)</x:f>
        <x:v>6879.8106649892725</x:v>
      </x:c>
      <x:c r="O46" s="1"/>
      <x:c r="P46" s="1"/>
      <x:c r="Q46" s="1"/>
    </x:row>
    <x:row r="47">
      <x:c r="A47" s="17" t="str">
        <x:v>Incremental gross margin</x:v>
      </x:c>
      <x:c r="B47" s="17" t="str">
        <x:v>%</x:v>
      </x:c>
      <x:c r="C47" s="32" t="n">
        <x:f>'Sources &amp; Assumptions'!$C$105</x:f>
        <x:v>0.59</x:v>
      </x:c>
      <x:c r="D47" s="32" t="n">
        <x:f>'Sources &amp; Assumptions'!$C$105</x:f>
        <x:v>0.59</x:v>
      </x:c>
      <x:c r="E47" s="32" t="n">
        <x:f>'Sources &amp; Assumptions'!$C$105</x:f>
        <x:v>0.59</x:v>
      </x:c>
      <x:c r="F47" s="32" t="n">
        <x:f>'Sources &amp; Assumptions'!$C$105</x:f>
        <x:v>0.59</x:v>
      </x:c>
      <x:c r="G47" s="32" t="n">
        <x:f>'Sources &amp; Assumptions'!$C$105</x:f>
        <x:v>0.59</x:v>
      </x:c>
      <x:c r="H47" s="32" t="n">
        <x:f>'Sources &amp; Assumptions'!$C$105</x:f>
        <x:v>0.59</x:v>
      </x:c>
      <x:c r="I47" s="32" t="n">
        <x:f>'Sources &amp; Assumptions'!$C$105</x:f>
        <x:v>0.59</x:v>
      </x:c>
      <x:c r="J47" s="32" t="n">
        <x:f>'Sources &amp; Assumptions'!$C$105</x:f>
        <x:v>0.59</x:v>
      </x:c>
      <x:c r="K47" s="32" t="n">
        <x:f>'Sources &amp; Assumptions'!$C$105</x:f>
        <x:v>0.59</x:v>
      </x:c>
      <x:c r="L47" s="32" t="n">
        <x:f>'Sources &amp; Assumptions'!$C$105</x:f>
        <x:v>0.59</x:v>
      </x:c>
      <x:c r="M47" s="32" t="n">
        <x:f>'Sources &amp; Assumptions'!$C$105</x:f>
        <x:v>0.59</x:v>
      </x:c>
      <x:c r="N47" s="32" t="n">
        <x:f>'Sources &amp; Assumptions'!$C$105</x:f>
        <x:v>0.59</x:v>
      </x:c>
      <x:c r="O47" s="1"/>
      <x:c r="P47" s="1"/>
      <x:c r="Q47" s="1"/>
    </x:row>
    <x:row r="48">
      <x:c r="A48" s="17" t="str">
        <x:v>S&amp;M</x:v>
      </x:c>
      <x:c r="B48" s="17" t="str">
        <x:v>$m</x:v>
      </x:c>
      <x:c r="C48" s="33" t="n">
        <x:f>'Sources &amp; Assumptions'!G126</x:f>
        <x:v>716.7149252950001</x:v>
      </x:c>
      <x:c r="D48" s="33" t="n">
        <x:f>IF(D$41&gt;'Sources &amp; Assumptions'!$C$100,D44*C48/C44,C48+D49*D45)</x:f>
        <x:v>808.3657334802821</x:v>
      </x:c>
      <x:c r="E48" s="33" t="n">
        <x:f>IF(E$41&gt;'Sources &amp; Assumptions'!$C$100,E44*D48/D44,D48+E49*E45)</x:f>
        <x:v>910.5720455047228</x:v>
      </x:c>
      <x:c r="F48" s="33" t="n">
        <x:f>IF(F$41&gt;'Sources &amp; Assumptions'!$C$100,F44*E48/E44,E48+F49*F45)</x:f>
        <x:v>1022.1132820485213</x:v>
      </x:c>
      <x:c r="G48" s="33" t="n">
        <x:f>IF(G$41&gt;'Sources &amp; Assumptions'!$C$100,G44*F48/F44,F48+G49*G45)</x:f>
        <x:v>1141.028360261931</x:v>
      </x:c>
      <x:c r="H48" s="33" t="n">
        <x:f>IF(H$41&gt;'Sources &amp; Assumptions'!$C$100,H44*G48/G44,G48+H49*H45)</x:f>
        <x:v>1264.57978517776</x:v>
      </x:c>
      <x:c r="I48" s="33" t="n">
        <x:f>IF(I$41&gt;'Sources &amp; Assumptions'!$C$100,I44*H48/H44,H48+I49*I45)</x:f>
        <x:v>1389.2710846584155</x:v>
      </x:c>
      <x:c r="J48" s="33" t="n">
        <x:f>IF(J$41&gt;'Sources &amp; Assumptions'!$C$100,J44*I48/I44,I48+J49*J45)</x:f>
        <x:v>1510.927094149097</x:v>
      </x:c>
      <x:c r="K48" s="33" t="n">
        <x:f>IF(K$41&gt;'Sources &amp; Assumptions'!$C$100,K44*J48/J44,J48+K49*K45)</x:f>
        <x:v>1624.8417602154736</x:v>
      </x:c>
      <x:c r="L48" s="33" t="n">
        <x:f>IF(L$41&gt;'Sources &amp; Assumptions'!$C$100,L44*K48/K44,K48+L49*L45)</x:f>
        <x:v>1725.9917357237653</x:v>
      </x:c>
      <x:c r="M48" s="33" t="n">
        <x:f>IF(M$41&gt;'Sources &amp; Assumptions'!$C$100,M44*L48/L44,L48+M49*M45)</x:f>
        <x:v>1809.3066507378264</x:v>
      </x:c>
      <x:c r="N48" s="33" t="n">
        <x:f>IF(N$41&gt;'Sources &amp; Assumptions'!$C$100,N44*M48/M44,M48+N49*N45)</x:f>
        <x:v>1872.6323835136502</x:v>
      </x:c>
      <x:c r="O48" s="1"/>
      <x:c r="P48" s="1"/>
      <x:c r="Q48" s="1"/>
    </x:row>
    <x:row r="49">
      <x:c r="A49" s="17" t="str">
        <x:v>Incremental S&amp;M cost ratio</x:v>
      </x:c>
      <x:c r="B49" s="17" t="str">
        <x:v>%</x:v>
      </x:c>
      <x:c r="C49" s="32" t="n">
        <x:f>'Sources &amp; Assumptions'!$C$106</x:f>
        <x:v>0.125</x:v>
      </x:c>
      <x:c r="D49" s="32" t="n">
        <x:f>'Sources &amp; Assumptions'!$C$106+('Sources &amp; Assumptions'!$C$107-'Sources &amp; Assumptions'!$C$106)*D43</x:f>
        <x:v>0.13126422992000003</x:v>
      </x:c>
      <x:c r="E49" s="32" t="n">
        <x:f>'Sources &amp; Assumptions'!$C$106+('Sources &amp; Assumptions'!$C$107-'Sources &amp; Assumptions'!$C$106)*E43</x:f>
        <x:v>0.13578839597333336</x:v>
      </x:c>
      <x:c r="F49" s="32" t="n">
        <x:f>'Sources &amp; Assumptions'!$C$106+('Sources &amp; Assumptions'!$C$107-'Sources &amp; Assumptions'!$C$106)*F43</x:f>
        <x:v>0.14031256202666667</x:v>
      </x:c>
      <x:c r="G49" s="32" t="n">
        <x:f>'Sources &amp; Assumptions'!$C$106+('Sources &amp; Assumptions'!$C$107-'Sources &amp; Assumptions'!$C$106)*G43</x:f>
        <x:v>0.14483672808</x:v>
      </x:c>
      <x:c r="H49" s="32" t="n">
        <x:f>'Sources &amp; Assumptions'!$C$106+('Sources &amp; Assumptions'!$C$107-'Sources &amp; Assumptions'!$C$106)*H43</x:f>
        <x:v>0.14936089413333337</x:v>
      </x:c>
      <x:c r="I49" s="32" t="n">
        <x:f>'Sources &amp; Assumptions'!$C$106+('Sources &amp; Assumptions'!$C$107-'Sources &amp; Assumptions'!$C$106)*I43</x:f>
        <x:v>0.15388506018666667</x:v>
      </x:c>
      <x:c r="J49" s="32" t="n">
        <x:f>'Sources &amp; Assumptions'!$C$106+('Sources &amp; Assumptions'!$C$107-'Sources &amp; Assumptions'!$C$106)*J43</x:f>
        <x:v>0.15840922624</x:v>
      </x:c>
      <x:c r="K49" s="32" t="n">
        <x:f>'Sources &amp; Assumptions'!$C$106+('Sources &amp; Assumptions'!$C$107-'Sources &amp; Assumptions'!$C$106)*K43</x:f>
        <x:v>0.16293339229333334</x:v>
      </x:c>
      <x:c r="L49" s="32" t="n">
        <x:f>'Sources &amp; Assumptions'!$C$106+('Sources &amp; Assumptions'!$C$107-'Sources &amp; Assumptions'!$C$106)*L43</x:f>
        <x:v>0.16745755834666667</x:v>
      </x:c>
      <x:c r="M49" s="32" t="n">
        <x:f>'Sources &amp; Assumptions'!$C$106+('Sources &amp; Assumptions'!$C$107-'Sources &amp; Assumptions'!$C$106)*M43</x:f>
        <x:v>0.1719817244</x:v>
      </x:c>
      <x:c r="N49" s="32" t="n">
        <x:f>'Sources &amp; Assumptions'!$C$106+('Sources &amp; Assumptions'!$C$107-'Sources &amp; Assumptions'!$C$106)*N43</x:f>
        <x:v>0.1719817244</x:v>
      </x:c>
      <x:c r="O49" s="1"/>
      <x:c r="P49" s="1"/>
      <x:c r="Q49" s="1"/>
    </x:row>
    <x:row r="50">
      <x:c r="A50" s="17" t="str">
        <x:v>R&amp;D</x:v>
      </x:c>
      <x:c r="B50" s="17" t="str">
        <x:v>$m</x:v>
      </x:c>
      <x:c r="C50" s="33" t="n">
        <x:f>'Sources &amp; Assumptions'!G127</x:f>
        <x:v>354.4399028651394</x:v>
      </x:c>
      <x:c r="D50" s="33" t="n">
        <x:f>IF(D$41&gt;'Sources &amp; Assumptions'!$C$100,D44*C50/C44,C50*(1+D42*D51))</x:f>
        <x:v>411.0912140064175</x:v>
      </x:c>
      <x:c r="E50" s="33" t="n">
        <x:f>IF(E$41&gt;'Sources &amp; Assumptions'!$C$100,E44*D50/D44,D50*(1+E42*E51))</x:f>
        <x:v>472.00951837531744</x:v>
      </x:c>
      <x:c r="F50" s="33" t="n">
        <x:f>IF(F$41&gt;'Sources &amp; Assumptions'!$C$100,F44*E50/E44,E50*(1+F42*F51))</x:f>
        <x:v>536.326545410659</x:v>
      </x:c>
      <x:c r="G50" s="33" t="n">
        <x:f>IF(G$41&gt;'Sources &amp; Assumptions'!$C$100,G44*F50/F44,F50*(1+G42*G51))</x:f>
        <x:v>602.862819355383</x:v>
      </x:c>
      <x:c r="H50" s="33" t="n">
        <x:f>IF(H$41&gt;'Sources &amp; Assumptions'!$C$100,H44*G50/G44,G50*(1+H42*H51))</x:f>
        <x:v>670.1291611355977</x:v>
      </x:c>
      <x:c r="I50" s="33" t="n">
        <x:f>IF(I$41&gt;'Sources &amp; Assumptions'!$C$100,I44*H50/H44,H50*(1+I42*I51))</x:f>
        <x:v>736.3506078283923</x:v>
      </x:c>
      <x:c r="J50" s="33" t="n">
        <x:f>IF(J$41&gt;'Sources &amp; Assumptions'!$C$100,J44*I50/I44,I50*(1+J42*J51))</x:f>
        <x:v>799.5158538577011</x:v>
      </x:c>
      <x:c r="K50" s="33" t="n">
        <x:f>IF(K$41&gt;'Sources &amp; Assumptions'!$C$100,K44*J50/J44,J50*(1+K42*K51))</x:f>
        <x:v>857.4534446961827</x:v>
      </x:c>
      <x:c r="L50" s="33" t="n">
        <x:f>IF(L$41&gt;'Sources &amp; Assumptions'!$C$100,L44*K50/K44,K50*(1+L42*L51))</x:f>
        <x:v>907.9334580067964</x:v>
      </x:c>
      <x:c r="M50" s="33" t="n">
        <x:f>IF(M$41&gt;'Sources &amp; Assumptions'!$C$100,M44*L50/L44,L50*(1+M42*M51))</x:f>
        <x:v>948.7904636171022</x:v>
      </x:c>
      <x:c r="N50" s="33" t="n">
        <x:f>IF(N$41&gt;'Sources &amp; Assumptions'!$C$100,N44*M50/M44,M50*(1+N42*N51))</x:f>
        <x:v>981.9981298437008</x:v>
      </x:c>
      <x:c r="O50" s="1"/>
      <x:c r="P50" s="1"/>
      <x:c r="Q50" s="1"/>
    </x:row>
    <x:row r="51">
      <x:c r="A51" s="17" t="str">
        <x:v>R&amp;D growth elasticity</x:v>
      </x:c>
      <x:c r="B51" s="17" t="str">
        <x:v>x</x:v>
      </x:c>
      <x:c r="C51" s="96" t="n">
        <x:f>'Sources &amp; Assumptions'!$C$108</x:f>
        <x:v>0.9</x:v>
      </x:c>
      <x:c r="D51" s="96" t="n">
        <x:f>'Sources &amp; Assumptions'!$C$108+('Sources &amp; Assumptions'!$C$109-'Sources &amp; Assumptions'!$C$108)*D43</x:f>
        <x:v>0.9133333333333334</x:v>
      </x:c>
      <x:c r="E51" s="96" t="n">
        <x:f>'Sources &amp; Assumptions'!$C$108+('Sources &amp; Assumptions'!$C$109-'Sources &amp; Assumptions'!$C$108)*E43</x:f>
        <x:v>0.922962962962963</x:v>
      </x:c>
      <x:c r="F51" s="96" t="n">
        <x:f>'Sources &amp; Assumptions'!$C$108+('Sources &amp; Assumptions'!$C$109-'Sources &amp; Assumptions'!$C$108)*F43</x:f>
        <x:v>0.9325925925925926</x:v>
      </x:c>
      <x:c r="G51" s="96" t="n">
        <x:f>'Sources &amp; Assumptions'!$C$108+('Sources &amp; Assumptions'!$C$109-'Sources &amp; Assumptions'!$C$108)*G43</x:f>
        <x:v>0.9422222222222223</x:v>
      </x:c>
      <x:c r="H51" s="96" t="n">
        <x:f>'Sources &amp; Assumptions'!$C$108+('Sources &amp; Assumptions'!$C$109-'Sources &amp; Assumptions'!$C$108)*H43</x:f>
        <x:v>0.951851851851852</x:v>
      </x:c>
      <x:c r="I51" s="96" t="n">
        <x:f>'Sources &amp; Assumptions'!$C$108+('Sources &amp; Assumptions'!$C$109-'Sources &amp; Assumptions'!$C$108)*I43</x:f>
        <x:v>0.9614814814814815</x:v>
      </x:c>
      <x:c r="J51" s="96" t="n">
        <x:f>'Sources &amp; Assumptions'!$C$108+('Sources &amp; Assumptions'!$C$109-'Sources &amp; Assumptions'!$C$108)*J43</x:f>
        <x:v>0.9711111111111111</x:v>
      </x:c>
      <x:c r="K51" s="96" t="n">
        <x:f>'Sources &amp; Assumptions'!$C$108+('Sources &amp; Assumptions'!$C$109-'Sources &amp; Assumptions'!$C$108)*K43</x:f>
        <x:v>0.9807407407407407</x:v>
      </x:c>
      <x:c r="L51" s="96" t="n">
        <x:f>'Sources &amp; Assumptions'!$C$108+('Sources &amp; Assumptions'!$C$109-'Sources &amp; Assumptions'!$C$108)*L43</x:f>
        <x:v>0.9903703703703703</x:v>
      </x:c>
      <x:c r="M51" s="96" t="n">
        <x:f>'Sources &amp; Assumptions'!$C$108+('Sources &amp; Assumptions'!$C$109-'Sources &amp; Assumptions'!$C$108)*M43</x:f>
        <x:v>1</x:v>
      </x:c>
      <x:c r="N51" s="96" t="n">
        <x:f>'Sources &amp; Assumptions'!$C$108+('Sources &amp; Assumptions'!$C$109-'Sources &amp; Assumptions'!$C$108)*N43</x:f>
        <x:v>1</x:v>
      </x:c>
      <x:c r="O51" s="1"/>
      <x:c r="P51" s="1"/>
      <x:c r="Q51" s="1"/>
    </x:row>
    <x:row r="52">
      <x:c r="A52" s="17" t="str">
        <x:v>G&amp;A</x:v>
      </x:c>
      <x:c r="B52" s="17" t="str">
        <x:v>$m</x:v>
      </x:c>
      <x:c r="C52" s="33" t="n">
        <x:f>'Sources &amp; Assumptions'!G128</x:f>
        <x:v>443.17513742040006</x:v>
      </x:c>
      <x:c r="D52" s="33" t="n">
        <x:f>IF(D$41&gt;'Sources &amp; Assumptions'!$C$100,D44*C52/C44,C52*(1+D42*D53))</x:f>
        <x:v>487.123338547923</x:v>
      </x:c>
      <x:c r="E52" s="33" t="n">
        <x:f>IF(E$41&gt;'Sources &amp; Assumptions'!$C$100,E44*D52/D44,D52*(1+E42*E53))</x:f>
        <x:v>535.208225468701</x:v>
      </x:c>
      <x:c r="F52" s="33" t="n">
        <x:f>IF(F$41&gt;'Sources &amp; Assumptions'!$C$100,F44*E52/E44,E52*(1+F42*F53))</x:f>
        <x:v>587.0518419921373</x:v>
      </x:c>
      <x:c r="G52" s="33" t="n">
        <x:f>IF(G$41&gt;'Sources &amp; Assumptions'!$C$100,G44*F52/F44,F52*(1+G42*G53))</x:f>
        <x:v>642.017288531253</x:v>
      </x:c>
      <x:c r="H52" s="33" t="n">
        <x:f>IF(H$41&gt;'Sources &amp; Assumptions'!$C$100,H44*G52/G44,G52*(1+H42*H53))</x:f>
        <x:v>699.158148233762</x:v>
      </x:c>
      <x:c r="I52" s="33" t="n">
        <x:f>IF(I$41&gt;'Sources &amp; Assumptions'!$C$100,I44*H52/H44,H52*(1+I42*I53))</x:f>
        <x:v>757.1767657610617</x:v>
      </x:c>
      <x:c r="J52" s="33" t="n">
        <x:f>IF(J$41&gt;'Sources &amp; Assumptions'!$C$100,J44*I52/I44,I52*(1+J42*J53))</x:f>
        <x:v>814.399698743856</x:v>
      </x:c>
      <x:c r="K52" s="33" t="n">
        <x:f>IF(K$41&gt;'Sources &amp; Assumptions'!$C$100,K44*J52/J44,J52*(1+K42*K53))</x:f>
        <x:v>868.7801494097729</x:v>
      </x:c>
      <x:c r="L52" s="33" t="n">
        <x:f>IF(L$41&gt;'Sources &amp; Assumptions'!$C$100,L44*K52/K44,K52*(1+L42*L53))</x:f>
        <x:v>917.9377323904712</x:v>
      </x:c>
      <x:c r="M52" s="33" t="n">
        <x:f>IF(M$41&gt;'Sources &amp; Assumptions'!$C$100,M44*L52/L44,L52*(1+M42*M53))</x:f>
        <x:v>959.2449303480423</x:v>
      </x:c>
      <x:c r="N52" s="33" t="n">
        <x:f>IF(N$41&gt;'Sources &amp; Assumptions'!$C$100,N44*M52/M44,M52*(1+N42*N53))</x:f>
        <x:v>992.8185029102239</x:v>
      </x:c>
      <x:c r="O52" s="1"/>
      <x:c r="P52" s="1"/>
      <x:c r="Q52" s="1"/>
    </x:row>
    <x:row r="53">
      <x:c r="A53" s="17" t="str">
        <x:v>G&amp;A growth elasticity</x:v>
      </x:c>
      <x:c r="B53" s="17" t="str">
        <x:v>x</x:v>
      </x:c>
      <x:c r="C53" s="96" t="n">
        <x:f>'Sources &amp; Assumptions'!$C$110</x:f>
        <x:v>0.5</x:v>
      </x:c>
      <x:c r="D53" s="96" t="n">
        <x:f>'Sources &amp; Assumptions'!$C$110+('Sources &amp; Assumptions'!$C$111-'Sources &amp; Assumptions'!$C$110)*D43</x:f>
        <x:v>0.5666666666666669</x:v>
      </x:c>
      <x:c r="E53" s="96" t="n">
        <x:f>'Sources &amp; Assumptions'!$C$110+('Sources &amp; Assumptions'!$C$111-'Sources &amp; Assumptions'!$C$110)*E43</x:f>
        <x:v>0.614814814814815</x:v>
      </x:c>
      <x:c r="F53" s="96" t="n">
        <x:f>'Sources &amp; Assumptions'!$C$110+('Sources &amp; Assumptions'!$C$111-'Sources &amp; Assumptions'!$C$110)*F43</x:f>
        <x:v>0.6629629629629631</x:v>
      </x:c>
      <x:c r="G53" s="96" t="n">
        <x:f>'Sources &amp; Assumptions'!$C$110+('Sources &amp; Assumptions'!$C$111-'Sources &amp; Assumptions'!$C$110)*G43</x:f>
        <x:v>0.7111111111111112</x:v>
      </x:c>
      <x:c r="H53" s="96" t="n">
        <x:f>'Sources &amp; Assumptions'!$C$110+('Sources &amp; Assumptions'!$C$111-'Sources &amp; Assumptions'!$C$110)*H43</x:f>
        <x:v>0.7592592592592594</x:v>
      </x:c>
      <x:c r="I53" s="96" t="n">
        <x:f>'Sources &amp; Assumptions'!$C$110+('Sources &amp; Assumptions'!$C$111-'Sources &amp; Assumptions'!$C$110)*I43</x:f>
        <x:v>0.8074074074074076</x:v>
      </x:c>
      <x:c r="J53" s="96" t="n">
        <x:f>'Sources &amp; Assumptions'!$C$110+('Sources &amp; Assumptions'!$C$111-'Sources &amp; Assumptions'!$C$110)*J43</x:f>
        <x:v>0.8555555555555556</x:v>
      </x:c>
      <x:c r="K53" s="96" t="n">
        <x:f>'Sources &amp; Assumptions'!$C$110+('Sources &amp; Assumptions'!$C$111-'Sources &amp; Assumptions'!$C$110)*K43</x:f>
        <x:v>0.9037037037037037</x:v>
      </x:c>
      <x:c r="L53" s="96" t="n">
        <x:f>'Sources &amp; Assumptions'!$C$110+('Sources &amp; Assumptions'!$C$111-'Sources &amp; Assumptions'!$C$110)*L43</x:f>
        <x:v>0.951851851851852</x:v>
      </x:c>
      <x:c r="M53" s="96" t="n">
        <x:f>'Sources &amp; Assumptions'!$C$110+('Sources &amp; Assumptions'!$C$111-'Sources &amp; Assumptions'!$C$110)*M43</x:f>
        <x:v>1</x:v>
      </x:c>
      <x:c r="N53" s="96" t="n">
        <x:f>'Sources &amp; Assumptions'!$C$110+('Sources &amp; Assumptions'!$C$111-'Sources &amp; Assumptions'!$C$110)*N43</x:f>
        <x:v>1</x:v>
      </x:c>
      <x:c r="O53" s="1"/>
      <x:c r="P53" s="1"/>
      <x:c r="Q53" s="1"/>
    </x:row>
    <x:row r="54">
      <x:c r="A54" s="17" t="str">
        <x:v>Pre-D&amp;A operating profit</x:v>
      </x:c>
      <x:c r="B54" s="17" t="str">
        <x:v>$m</x:v>
      </x:c>
      <x:c r="C54" s="33" t="n">
        <x:f>C46-C48-C50-C52</x:f>
        <x:v>849.4427370182602</x:v>
      </x:c>
      <x:c r="D54" s="33" t="n">
        <x:f>D46-D48-D50-D52</x:f>
        <x:v>1069.1399582689673</x:v>
      </x:c>
      <x:c r="E54" s="33" t="n">
        <x:f>E46-E48-E50-E52</x:f>
        <x:v>1302.0164437624808</x:v>
      </x:c>
      <x:c r="F54" s="33" t="n">
        <x:f>F46-F48-F50-F52</x:f>
        <x:v>1543.334077025599</x:v>
      </x:c>
      <x:c r="G54" s="33" t="n">
        <x:f>G46-G48-G50-G52</x:f>
        <x:v>1787.324079531143</x:v>
      </x:c>
      <x:c r="H54" s="33" t="n">
        <x:f>H46-H48-H50-H52</x:f>
        <x:v>2027.413821638379</x:v>
      </x:c>
      <x:c r="I54" s="33" t="n">
        <x:f>I46-I48-I50-I52</x:f>
        <x:v>2256.552691684472</x:v>
      </x:c>
      <x:c r="J54" s="33" t="n">
        <x:f>J46-J48-J50-J52</x:f>
        <x:v>2467.6200251757114</x:v>
      </x:c>
      <x:c r="K54" s="33" t="n">
        <x:f>K46-K48-K50-K52</x:f>
        <x:v>2653.885038502829</x:v>
      </x:c>
      <x:c r="L54" s="33" t="n">
        <x:f>L46-L48-L50-L52</x:f>
        <x:v>2809.477233248889</x:v>
      </x:c>
      <x:c r="M54" s="33" t="n">
        <x:f>M46-M48-M50-M52</x:f>
        <x:v>2929.8180180885965</x:v>
      </x:c>
      <x:c r="N54" s="33" t="n">
        <x:f>N46-N48-N50-N52</x:f>
        <x:v>3032.361648721698</x:v>
      </x:c>
      <x:c r="O54" s="1"/>
      <x:c r="P54" s="1"/>
      <x:c r="Q54" s="1"/>
    </x:row>
    <x:row r="55">
      <x:c r="A55" s="17" t="str">
        <x:v>Operating fixed investment</x:v>
      </x:c>
      <x:c r="B55" s="17" t="str">
        <x:v>$m</x:v>
      </x:c>
      <x:c r="C55" s="33" t="n">
        <x:f>'Sources &amp; Assumptions'!C170</x:f>
        <x:v>58.172989409920014</x:v>
      </x:c>
      <x:c r="D55" s="33" t="n">
        <x:f>'Sources &amp; Assumptions'!D170</x:f>
        <x:v>63.50066569004519</x:v>
      </x:c>
      <x:c r="E55" s="33" t="n">
        <x:f>'Sources &amp; Assumptions'!E170</x:f>
        <x:v>69.37622810777405</x:v>
      </x:c>
      <x:c r="F55" s="33" t="n">
        <x:f>'Sources &amp; Assumptions'!F170</x:f>
        <x:v>75.75480128452166</x:v>
      </x:c>
      <x:c r="G55" s="33" t="n">
        <x:f>'Sources &amp; Assumptions'!G170</x:f>
        <x:v>82.55954645323834</x:v>
      </x:c>
      <x:c r="H55" s="33" t="n">
        <x:f>'Sources &amp; Assumptions'!H170</x:f>
        <x:v>89.67453156409061</x:v>
      </x:c>
      <x:c r="I55" s="33" t="n">
        <x:f>'Sources &amp; Assumptions'!I170</x:f>
        <x:v>96.93853765177604</x:v>
      </x:c>
      <x:c r="J55" s="33" t="n">
        <x:f>'Sources &amp; Assumptions'!J170</x:f>
        <x:v>104.14089148349254</x:v>
      </x:c>
      <x:c r="K55" s="33" t="n">
        <x:f>'Sources &amp; Assumptions'!K170</x:f>
        <x:v>111.02066162782856</x:v>
      </x:c>
      <x:c r="L55" s="33" t="n">
        <x:f>'Sources &amp; Assumptions'!L170</x:f>
        <x:v>117.2706908460821</x:v>
      </x:c>
      <x:c r="M55" s="33" t="n">
        <x:f>'Sources &amp; Assumptions'!M170</x:f>
        <x:v>122.5478719341558</x:v>
      </x:c>
      <x:c r="N55" s="33" t="n">
        <x:f>'Sources &amp; Assumptions'!N170</x:f>
        <x:v>126.83704745185125</x:v>
      </x:c>
      <x:c r="O55" s="1"/>
      <x:c r="P55" s="1"/>
      <x:c r="Q55" s="1"/>
    </x:row>
    <x:row r="56">
      <x:c r="A56" s="17" t="str">
        <x:v>D&amp;A</x:v>
      </x:c>
      <x:c r="B56" s="17" t="str">
        <x:v>$m</x:v>
      </x:c>
      <x:c r="C56" s="33" t="n">
        <x:f>'Sources &amp; Assumptions'!C169</x:f>
        <x:v>75.56277967699201</x:v>
      </x:c>
      <x:c r="D56" s="33" t="n">
        <x:f>'Sources &amp; Assumptions'!D169</x:f>
        <x:v>59.059148502058314</x:v>
      </x:c>
      <x:c r="E56" s="33" t="n">
        <x:f>'Sources &amp; Assumptions'!E169</x:f>
        <x:v>64.3958649975398</x:v>
      </x:c>
      <x:c r="F56" s="33" t="n">
        <x:f>'Sources &amp; Assumptions'!F169</x:f>
        <x:v>70.36013738514718</x:v>
      </x:c>
      <x:c r="G56" s="33" t="n">
        <x:f>'Sources &amp; Assumptions'!G169</x:f>
        <x:v>76.88897639007864</x:v>
      </x:c>
      <x:c r="H56" s="33" t="n">
        <x:f>'Sources &amp; Assumptions'!H169</x:f>
        <x:v>83.86727064620615</x:v>
      </x:c>
      <x:c r="I56" s="33" t="n">
        <x:f>'Sources &amp; Assumptions'!I169</x:f>
        <x:v>91.21323079301521</x:v>
      </x:c>
      <x:c r="J56" s="33" t="n">
        <x:f>'Sources &amp; Assumptions'!J169</x:f>
        <x:v>98.77231101521413</x:v>
      </x:c>
      <x:c r="K56" s="33" t="n">
        <x:f>'Sources &amp; Assumptions'!K169</x:f>
        <x:v>106.34619345485095</x:v>
      </x:c>
      <x:c r="L56" s="33" t="n">
        <x:f>'Sources &amp; Assumptions'!L169</x:f>
        <x:v>113.68751562669489</x:v>
      </x:c>
      <x:c r="M56" s="33" t="n">
        <x:f>'Sources &amp; Assumptions'!M169</x:f>
        <x:v>120.50241433687701</x:v>
      </x:c>
      <x:c r="N56" s="33" t="n">
        <x:f>'Sources &amp; Assumptions'!N169</x:f>
        <x:v>124.7199988386677</x:v>
      </x:c>
      <x:c r="O56" s="1"/>
      <x:c r="P56" s="1"/>
      <x:c r="Q56" s="1"/>
    </x:row>
    <x:row r="57">
      <x:c r="A57" s="17" t="str">
        <x:v>Forecast GAAP EBIT</x:v>
      </x:c>
      <x:c r="B57" s="17" t="str">
        <x:v>$m</x:v>
      </x:c>
      <x:c r="C57" s="33" t="n">
        <x:f>C54-C56</x:f>
        <x:v>773.8799573412682</x:v>
      </x:c>
      <x:c r="D57" s="33" t="n">
        <x:f>D54-D56</x:f>
        <x:v>1010.080809766909</x:v>
      </x:c>
      <x:c r="E57" s="33" t="n">
        <x:f>E54-E56</x:f>
        <x:v>1237.620578764941</x:v>
      </x:c>
      <x:c r="F57" s="33" t="n">
        <x:f>F54-F56</x:f>
        <x:v>1472.9739396404518</x:v>
      </x:c>
      <x:c r="G57" s="33" t="n">
        <x:f>G54-G56</x:f>
        <x:v>1710.4351031410645</x:v>
      </x:c>
      <x:c r="H57" s="33" t="n">
        <x:f>H54-H56</x:f>
        <x:v>1943.5465509921728</x:v>
      </x:c>
      <x:c r="I57" s="33" t="n">
        <x:f>I54-I56</x:f>
        <x:v>2165.339460891457</x:v>
      </x:c>
      <x:c r="J57" s="33" t="n">
        <x:f>J54-J56</x:f>
        <x:v>2368.847714160497</x:v>
      </x:c>
      <x:c r="K57" s="33" t="n">
        <x:f>K54-K56</x:f>
        <x:v>2547.538845047978</x:v>
      </x:c>
      <x:c r="L57" s="33" t="n">
        <x:f>L54-L56</x:f>
        <x:v>2695.7897176221945</x:v>
      </x:c>
      <x:c r="M57" s="33" t="n">
        <x:f>M54-M56</x:f>
        <x:v>2809.3156037517197</x:v>
      </x:c>
      <x:c r="N57" s="33" t="n">
        <x:f>N54-N56</x:f>
        <x:v>2907.6416498830304</x:v>
      </x:c>
      <x:c r="O57" s="1"/>
      <x:c r="P57" s="1"/>
      <x:c r="Q57" s="1"/>
    </x:row>
    <x:row r="58">
      <x:c r="A58" s="17" t="str">
        <x:v>Unlevered ETR</x:v>
      </x:c>
      <x:c r="B58" s="17" t="str">
        <x:v>%</x:v>
      </x:c>
      <x:c r="C58" s="32" t="n">
        <x:f>'Sources &amp; Assumptions'!$K$101</x:f>
        <x:v>0.25</x:v>
      </x:c>
      <x:c r="D58" s="32" t="n">
        <x:f>'Sources &amp; Assumptions'!$K$101</x:f>
        <x:v>0.25</x:v>
      </x:c>
      <x:c r="E58" s="32" t="n">
        <x:f>'Sources &amp; Assumptions'!$K$101</x:f>
        <x:v>0.25</x:v>
      </x:c>
      <x:c r="F58" s="32" t="n">
        <x:f>'Sources &amp; Assumptions'!$K$101</x:f>
        <x:v>0.25</x:v>
      </x:c>
      <x:c r="G58" s="32" t="n">
        <x:f>'Sources &amp; Assumptions'!$K$101</x:f>
        <x:v>0.25</x:v>
      </x:c>
      <x:c r="H58" s="32" t="n">
        <x:f>'Sources &amp; Assumptions'!$K$101</x:f>
        <x:v>0.25</x:v>
      </x:c>
      <x:c r="I58" s="32" t="n">
        <x:f>'Sources &amp; Assumptions'!$K$101</x:f>
        <x:v>0.25</x:v>
      </x:c>
      <x:c r="J58" s="32" t="n">
        <x:f>'Sources &amp; Assumptions'!$K$101</x:f>
        <x:v>0.25</x:v>
      </x:c>
      <x:c r="K58" s="32" t="n">
        <x:f>'Sources &amp; Assumptions'!$K$101</x:f>
        <x:v>0.25</x:v>
      </x:c>
      <x:c r="L58" s="32" t="n">
        <x:f>'Sources &amp; Assumptions'!$K$101</x:f>
        <x:v>0.25</x:v>
      </x:c>
      <x:c r="M58" s="32" t="n">
        <x:f>'Sources &amp; Assumptions'!$K$101</x:f>
        <x:v>0.25</x:v>
      </x:c>
      <x:c r="N58" s="32" t="n">
        <x:f>'Sources &amp; Assumptions'!$K$101</x:f>
        <x:v>0.25</x:v>
      </x:c>
      <x:c r="O58" s="1"/>
      <x:c r="P58" s="1"/>
      <x:c r="Q58" s="1"/>
    </x:row>
    <x:row r="59">
      <x:c r="A59" s="17" t="str">
        <x:v>NOPAT</x:v>
      </x:c>
      <x:c r="B59" s="17" t="str">
        <x:v>$m</x:v>
      </x:c>
      <x:c r="C59" s="33" t="n">
        <x:f>C57*(1-C58)</x:f>
        <x:v>580.4099680059512</x:v>
      </x:c>
      <x:c r="D59" s="33" t="n">
        <x:f>D57*(1-D58)</x:f>
        <x:v>757.5606073251818</x:v>
      </x:c>
      <x:c r="E59" s="33" t="n">
        <x:f>E57*(1-E58)</x:f>
        <x:v>928.2154340737058</x:v>
      </x:c>
      <x:c r="F59" s="33" t="n">
        <x:f>F57*(1-F58)</x:f>
        <x:v>1104.7304547303388</x:v>
      </x:c>
      <x:c r="G59" s="33" t="n">
        <x:f>G57*(1-G58)</x:f>
        <x:v>1282.8263273557984</x:v>
      </x:c>
      <x:c r="H59" s="33" t="n">
        <x:f>H57*(1-H58)</x:f>
        <x:v>1457.6599132441297</x:v>
      </x:c>
      <x:c r="I59" s="33" t="n">
        <x:f>I57*(1-I58)</x:f>
        <x:v>1624.0045956685926</x:v>
      </x:c>
      <x:c r="J59" s="33" t="n">
        <x:f>J57*(1-J58)</x:f>
        <x:v>1776.6357856203729</x:v>
      </x:c>
      <x:c r="K59" s="33" t="n">
        <x:f>K57*(1-K58)</x:f>
        <x:v>1910.6541337859835</x:v>
      </x:c>
      <x:c r="L59" s="33" t="n">
        <x:f>L57*(1-L58)</x:f>
        <x:v>2021.842288216646</x:v>
      </x:c>
      <x:c r="M59" s="33" t="n">
        <x:f>M57*(1-M58)</x:f>
        <x:v>2106.9867028137896</x:v>
      </x:c>
      <x:c r="N59" s="33" t="n">
        <x:f>N57*(1-N58)</x:f>
        <x:v>2180.731237412273</x:v>
      </x:c>
      <x:c r="O59" s="1"/>
      <x:c r="P59" s="1"/>
      <x:c r="Q59" s="1"/>
    </x:row>
    <x:row r="60">
      <x:c r="A60" s="17" t="str">
        <x:v>Ending operating working capital</x:v>
      </x:c>
      <x:c r="B60" s="17" t="str">
        <x:v>$m</x:v>
      </x:c>
      <x:c r="C60" s="33" t="n">
        <x:f>'Sources &amp; Assumptions'!G132</x:f>
        <x:v>290.4103129423923</x:v>
      </x:c>
      <x:c r="D60" s="33" t="n">
        <x:f>D44*'Sources &amp; Assumptions'!$C$112/365+D44*SUM('Sources &amp; Assumptions'!$K$102:$K$103)-(D44-D46)*'Sources &amp; Assumptions'!$C$113/365-D44*SUM('Sources &amp; Assumptions'!$K$104:$K$106)</x:f>
        <x:v>341.12184918847515</x:v>
      </x:c>
      <x:c r="E60" s="33" t="n">
        <x:f>E44*'Sources &amp; Assumptions'!$C$112/365+E44*SUM('Sources &amp; Assumptions'!$K$102:$K$103)-(E44-E46)*'Sources &amp; Assumptions'!$C$113/365-E44*SUM('Sources &amp; Assumptions'!$K$104:$K$106)</x:f>
        <x:v>395.78969020677255</x:v>
      </x:c>
      <x:c r="F60" s="33" t="n">
        <x:f>F44*'Sources &amp; Assumptions'!$C$112/365+F44*SUM('Sources &amp; Assumptions'!$K$102:$K$103)-(F44-F46)*'Sources &amp; Assumptions'!$C$113/365-F44*SUM('Sources &amp; Assumptions'!$K$104:$K$106)</x:f>
        <x:v>453.5268961474487</x:v>
      </x:c>
      <x:c r="G60" s="33" t="n">
        <x:f>G44*'Sources &amp; Assumptions'!$C$112/365+G44*SUM('Sources &amp; Assumptions'!$K$102:$K$103)-(G44-G46)*'Sources &amp; Assumptions'!$C$113/365-G44*SUM('Sources &amp; Assumptions'!$K$104:$K$106)</x:f>
        <x:v>513.1583068736434</x:v>
      </x:c>
      <x:c r="H60" s="33" t="n">
        <x:f>H44*'Sources &amp; Assumptions'!$C$112/365+H44*SUM('Sources &amp; Assumptions'!$K$102:$K$103)-(H44-H46)*'Sources &amp; Assumptions'!$C$113/365-H44*SUM('Sources &amp; Assumptions'!$K$104:$K$106)</x:f>
        <x:v>573.2380015524845</x:v>
      </x:c>
      <x:c r="I60" s="33" t="n">
        <x:f>I44*'Sources &amp; Assumptions'!$C$112/365+I44*SUM('Sources &amp; Assumptions'!$K$102:$K$103)-(I44-I46)*'Sources &amp; Assumptions'!$C$113/365-I44*SUM('Sources &amp; Assumptions'!$K$104:$K$106)</x:f>
        <x:v>632.0893686136815</x:v>
      </x:c>
      <x:c r="J60" s="33" t="n">
        <x:f>J44*'Sources &amp; Assumptions'!$C$112/365+J44*SUM('Sources &amp; Assumptions'!$K$102:$K$103)-(J44-J46)*'Sources &amp; Assumptions'!$C$113/365-J44*SUM('Sources &amp; Assumptions'!$K$104:$K$106)</x:f>
        <x:v>687.8682701602875</x:v>
      </x:c>
      <x:c r="K60" s="33" t="n">
        <x:f>K44*'Sources &amp; Assumptions'!$C$112/365+K44*SUM('Sources &amp; Assumptions'!$K$102:$K$103)-(K44-K46)*'Sources &amp; Assumptions'!$C$113/365-K44*SUM('Sources &amp; Assumptions'!$K$104:$K$106)</x:f>
        <x:v>738.6475345252888</x:v>
      </x:c>
      <x:c r="L60" s="33" t="n">
        <x:f>L44*'Sources &amp; Assumptions'!$C$112/365+L44*SUM('Sources &amp; Assumptions'!$K$102:$K$103)-(L44-L46)*'Sources &amp; Assumptions'!$C$113/365-L44*SUM('Sources &amp; Assumptions'!$K$104:$K$106)</x:f>
        <x:v>782.518570564878</x:v>
      </x:c>
      <x:c r="M60" s="33" t="n">
        <x:f>M44*'Sources &amp; Assumptions'!$C$112/365+M44*SUM('Sources &amp; Assumptions'!$K$102:$K$103)-(M44-M46)*'Sources &amp; Assumptions'!$C$113/365-M44*SUM('Sources &amp; Assumptions'!$K$104:$K$106)</x:f>
        <x:v>817.703551478312</x:v>
      </x:c>
      <x:c r="N60" s="33" t="n">
        <x:f>N44*'Sources &amp; Assumptions'!$C$112/365+N44*SUM('Sources &amp; Assumptions'!$K$102:$K$103)-(N44-N46)*'Sources &amp; Assumptions'!$C$113/365-N44*SUM('Sources &amp; Assumptions'!$K$104:$K$106)</x:f>
        <x:v>846.3231757800527</x:v>
      </x:c>
      <x:c r="O60" s="1"/>
      <x:c r="P60" s="1"/>
      <x:c r="Q60" s="1"/>
    </x:row>
    <x:row r="61">
      <x:c r="A61" s="17" t="str">
        <x:v>Investment in working capital</x:v>
      </x:c>
      <x:c r="B61" s="17" t="str">
        <x:v>$m</x:v>
      </x:c>
      <x:c r="C61" s="33" t="n">
        <x:f>'Sources &amp; Assumptions'!G133</x:f>
        <x:v>41.78178826622798</x:v>
      </x:c>
      <x:c r="D61" s="33" t="n">
        <x:f>D60-C60</x:f>
        <x:v>50.71153624608286</x:v>
      </x:c>
      <x:c r="E61" s="33" t="n">
        <x:f>E60-D60</x:f>
        <x:v>54.667841018297395</x:v>
      </x:c>
      <x:c r="F61" s="33" t="n">
        <x:f>F60-E60</x:f>
        <x:v>57.737205940676176</x:v>
      </x:c>
      <x:c r="G61" s="33" t="n">
        <x:f>G60-F60</x:f>
        <x:v>59.631410726194645</x:v>
      </x:c>
      <x:c r="H61" s="33" t="n">
        <x:f>H60-G60</x:f>
        <x:v>60.07969467884118</x:v>
      </x:c>
      <x:c r="I61" s="33" t="n">
        <x:f>I60-H60</x:f>
        <x:v>58.851367061196925</x:v>
      </x:c>
      <x:c r="J61" s="33" t="n">
        <x:f>J60-I60</x:f>
        <x:v>55.778901546605994</x:v>
      </x:c>
      <x:c r="K61" s="33" t="n">
        <x:f>K60-J60</x:f>
        <x:v>50.77926436500138</x:v>
      </x:c>
      <x:c r="L61" s="33" t="n">
        <x:f>L60-K60</x:f>
        <x:v>43.87103603958917</x:v>
      </x:c>
      <x:c r="M61" s="33" t="n">
        <x:f>M60-L60</x:f>
        <x:v>35.18498091343395</x:v>
      </x:c>
      <x:c r="N61" s="33" t="n">
        <x:f>N60-M60</x:f>
        <x:v>28.619624301740714</x:v>
      </x:c>
      <x:c r="O61" s="1"/>
      <x:c r="P61" s="1"/>
      <x:c r="Q61" s="1"/>
    </x:row>
    <x:row r="62">
      <x:c r="A62" s="17" t="str">
        <x:v>FCFF</x:v>
      </x:c>
      <x:c r="B62" s="17" t="str">
        <x:v>$m</x:v>
      </x:c>
      <x:c r="C62" s="33" t="n">
        <x:f>C59+C56-C55-C61</x:f>
        <x:v>556.0179700067953</x:v>
      </x:c>
      <x:c r="D62" s="33" t="n">
        <x:f>D59+D56-D55-D61</x:f>
        <x:v>702.407553891112</x:v>
      </x:c>
      <x:c r="E62" s="33" t="n">
        <x:f>E59+E56-E55-E61</x:f>
        <x:v>868.5672299451741</x:v>
      </x:c>
      <x:c r="F62" s="33" t="n">
        <x:f>F59+F56-F55-F61</x:f>
        <x:v>1041.5985848902883</x:v>
      </x:c>
      <x:c r="G62" s="33" t="n">
        <x:f>G59+G56-G55-G61</x:f>
        <x:v>1217.524346566444</x:v>
      </x:c>
      <x:c r="H62" s="33" t="n">
        <x:f>H59+H56-H55-H61</x:f>
        <x:v>1391.7729576474042</x:v>
      </x:c>
      <x:c r="I62" s="33" t="n">
        <x:f>I59+I56-I55-I61</x:f>
        <x:v>1559.4279217486348</x:v>
      </x:c>
      <x:c r="J62" s="33" t="n">
        <x:f>J59+J56-J55-J61</x:f>
        <x:v>1715.4883036054885</x:v>
      </x:c>
      <x:c r="K62" s="33" t="n">
        <x:f>K59+K56-K55-K61</x:f>
        <x:v>1855.2004012480045</x:v>
      </x:c>
      <x:c r="L62" s="33" t="n">
        <x:f>L59+L56-L55-L61</x:f>
        <x:v>1974.3880769576695</x:v>
      </x:c>
      <x:c r="M62" s="33" t="n">
        <x:f>M59+M56-M55-M61</x:f>
        <x:v>2069.756264303077</x:v>
      </x:c>
      <x:c r="N62" s="33" t="n">
        <x:f>N59+N56-N55-N61</x:f>
        <x:v>2149.994564497349</x:v>
      </x:c>
      <x:c r="O62" s="1"/>
      <x:c r="P62" s="1"/>
      <x:c r="Q62" s="1"/>
    </x:row>
    <x:row r="63">
      <x:c r="A63" s="17" t="str">
        <x:v>FCFF margin</x:v>
      </x:c>
      <x:c r="B63" s="17" t="str">
        <x:v>%</x:v>
      </x:c>
      <x:c r="C63" s="32" t="n">
        <x:f>C62/C44</x:f>
        <x:v>0.1393596261446851</x:v>
      </x:c>
      <x:c r="D63" s="32" t="n">
        <x:f>D62/D44</x:f>
        <x:v>0.14983023187262112</x:v>
      </x:c>
      <x:c r="E63" s="32" t="n">
        <x:f>E62/E44</x:f>
        <x:v>0.15964222907798997</x:v>
      </x:c>
      <x:c r="F63" s="32" t="n">
        <x:f>F62/F44</x:f>
        <x:v>0.1670390462492413</x:v>
      </x:c>
      <x:c r="G63" s="32" t="n">
        <x:f>G62/G44</x:f>
        <x:v>0.1725348183647623</x:v>
      </x:c>
      <x:c r="H63" s="32" t="n">
        <x:f>H62/H44</x:f>
        <x:v>0.17653382239654766</x:v>
      </x:c>
      <x:c r="I63" s="32" t="n">
        <x:f>I62/I44</x:f>
        <x:v>0.17936464036670052</x:v>
      </x:c>
      <x:c r="J63" s="32" t="n">
        <x:f>J62/J44</x:f>
        <x:v>0.18129981272099138</x:v>
      </x:c>
      <x:c r="K63" s="32" t="n">
        <x:f>K62/K44</x:f>
        <x:v>0.18257490140363705</x:v>
      </x:c>
      <x:c r="L63" s="32" t="n">
        <x:f>L62/L44</x:f>
        <x:v>0.18340221522605168</x:v>
      </x:c>
      <x:c r="M63" s="32" t="n">
        <x:f>M62/M44</x:f>
        <x:v>0.1839818461898774</x:v>
      </x:c>
      <x:c r="N63" s="32" t="n">
        <x:f>N62/N44</x:f>
        <x:v>0.18465147408135413</x:v>
      </x:c>
      <x:c r="O63" s="1"/>
      <x:c r="P63" s="1"/>
      <x:c r="Q63" s="1"/>
    </x:row>
    <x:row r="64">
      <x:c r="A64" s="17" t="str">
        <x:v>Discount factor — valuation date</x:v>
      </x:c>
      <x:c r="B64" s="17" t="str">
        <x:v>x</x:v>
      </x:c>
      <x:c r="C64" s="98" t="n">
        <x:f>1/(1+'Sources &amp; Assumptions'!$C$98)^((DATE(C$41,6,30)-'Sources &amp; Assumptions'!$K$97)/365)</x:f>
        <x:v>0.6684068386521467</x:v>
      </x:c>
      <x:c r="D64" s="98" t="n">
        <x:f>1/(1+'Sources &amp; Assumptions'!$C$98)^((DATE(D$41,6,30)-'Sources &amp; Assumptions'!$K$97)/365)</x:f>
        <x:v>0.602168323110042</x:v>
      </x:c>
      <x:c r="E64" s="98" t="n">
        <x:f>1/(1+'Sources &amp; Assumptions'!$C$98)^((DATE(E$41,6,30)-'Sources &amp; Assumptions'!$K$97)/365)</x:f>
        <x:v>0.5423388982420058</x:v>
      </x:c>
      <x:c r="F64" s="98" t="n">
        <x:f>1/(1+'Sources &amp; Assumptions'!$C$98)^((DATE(F$41,6,30)-'Sources &amp; Assumptions'!$K$97)/365)</x:f>
        <x:v>0.48859360201982494</x:v>
      </x:c>
      <x:c r="G64" s="98" t="n">
        <x:f>1/(1+'Sources &amp; Assumptions'!$C$98)^((DATE(G$41,6,30)-'Sources &amp; Assumptions'!$K$97)/365)</x:f>
        <x:v>0.44017441623407655</x:v>
      </x:c>
      <x:c r="H64" s="98" t="n">
        <x:f>1/(1+'Sources &amp; Assumptions'!$C$98)^((DATE(H$41,6,30)-'Sources &amp; Assumptions'!$K$97)/365)</x:f>
        <x:v>0.3965535281388076</x:v>
      </x:c>
      <x:c r="I64" s="98" t="n">
        <x:f>1/(1+'Sources &amp; Assumptions'!$C$98)^((DATE(I$41,6,30)-'Sources &amp; Assumptions'!$K$97)/365)</x:f>
        <x:v>0.3571532996521959</x:v>
      </x:c>
      <x:c r="J64" s="98" t="n">
        <x:f>1/(1+'Sources &amp; Assumptions'!$C$98)^((DATE(J$41,6,30)-'Sources &amp; Assumptions'!$K$97)/365)</x:f>
        <x:v>0.3217597294163927</x:v>
      </x:c>
      <x:c r="K64" s="98" t="n">
        <x:f>1/(1+'Sources &amp; Assumptions'!$C$98)^((DATE(K$41,6,30)-'Sources &amp; Assumptions'!$K$97)/365)</x:f>
        <x:v>0.2898736301048583</x:v>
      </x:c>
      <x:c r="L64" s="98" t="n">
        <x:f>1/(1+'Sources &amp; Assumptions'!$C$98)^((DATE(L$41,6,30)-'Sources &amp; Assumptions'!$K$97)/365)</x:f>
        <x:v>0.2611474145088813</x:v>
      </x:c>
      <x:c r="M64" s="98" t="n">
        <x:f>1/(1+'Sources &amp; Assumptions'!$C$98)^((DATE(M$41,6,30)-'Sources &amp; Assumptions'!$K$97)/365)</x:f>
        <x:v>0.23520068331062494</x:v>
      </x:c>
      <x:c r="N64" s="98" t="n">
        <x:f>1/(1+'Sources &amp; Assumptions'!$C$98)^((DATE(N$41,6,30)-'Sources &amp; Assumptions'!$K$97)/365)</x:f>
        <x:v>0.21189250748704946</x:v>
      </x:c>
      <x:c r="O64" s="1"/>
      <x:c r="P64" s="1"/>
      <x:c r="Q64" s="1"/>
    </x:row>
    <x:row r="65">
      <x:c r="A65" s="17" t="str">
        <x:v>PV of FCFF — valuation date</x:v>
      </x:c>
      <x:c r="B65" s="17" t="str">
        <x:v>$m</x:v>
      </x:c>
      <x:c r="C65" s="33" t="n">
        <x:f>IF(C$41='Sources &amp; Assumptions'!$C$101,0,C62*C64)</x:f>
        <x:v>371.6462135660261</x:v>
      </x:c>
      <x:c r="D65" s="33" t="n">
        <x:f>IF(D$41='Sources &amp; Assumptions'!$C$101,0,D62*D64)</x:f>
        <x:v>422.96757886643735</x:v>
      </x:c>
      <x:c r="E65" s="33" t="n">
        <x:f>IF(E$41='Sources &amp; Assumptions'!$C$101,0,E62*E64)</x:f>
        <x:v>471.05779453757657</x:v>
      </x:c>
      <x:c r="F65" s="33" t="n">
        <x:f>IF(F$41='Sources &amp; Assumptions'!$C$101,0,F62*F64)</x:f>
        <x:v>508.91840445029834</x:v>
      </x:c>
      <x:c r="G65" s="33" t="n">
        <x:f>IF(G$41='Sources &amp; Assumptions'!$C$101,0,G62*G64)</x:f>
        <x:v>535.92306850066</x:v>
      </x:c>
      <x:c r="H65" s="33" t="n">
        <x:f>IF(H$41='Sources &amp; Assumptions'!$C$101,0,H62*H64)</x:f>
        <x:v>551.9124767232614</x:v>
      </x:c>
      <x:c r="I65" s="33" t="n">
        <x:f>IF(I$41='Sources &amp; Assumptions'!$C$101,0,I62*I64)</x:f>
        <x:v>556.9548278222912</x:v>
      </x:c>
      <x:c r="J65" s="33" t="n">
        <x:f>IF(J$41='Sources &amp; Assumptions'!$C$101,0,J62*J64)</x:f>
        <x:v>551.9750523850885</x:v>
      </x:c>
      <x:c r="K65" s="33" t="n">
        <x:f>IF(K$41='Sources &amp; Assumptions'!$C$101,0,K62*K64)</x:f>
        <x:v>537.7736748817487</x:v>
      </x:c>
      <x:c r="L65" s="33" t="n">
        <x:f>IF(L$41='Sources &amp; Assumptions'!$C$101,0,L62*L64)</x:f>
        <x:v>515.6063415346575</x:v>
      </x:c>
      <x:c r="M65" s="33" t="n">
        <x:f>IF(M$41='Sources &amp; Assumptions'!$C$101,0,M62*M64)</x:f>
        <x:v>486.8080876505301</x:v>
      </x:c>
      <x:c r="N65" s="33" t="n">
        <x:f>IF(N$41='Sources &amp; Assumptions'!$C$101,0,N62*N64)</x:f>
        <x:v>0</x:v>
      </x:c>
      <x:c r="O65" s="1"/>
      <x:c r="P65" s="1"/>
      <x:c r="Q65" s="1"/>
    </x:row>
    <x:row r="66">
      <x:c r="A66" s="17" t="str">
        <x:v>Discount factor — target date</x:v>
      </x:c>
      <x:c r="B66" s="17" t="str">
        <x:v>x</x:v>
      </x:c>
      <x:c r="C66" s="98" t="n">
        <x:f>1/(1+'Sources &amp; Assumptions'!$C$98)^((DATE(C$41,6,30)-'Sources &amp; Assumptions'!$K$98)/365)</x:f>
        <x:v>0.7419315909038829</x:v>
      </x:c>
      <x:c r="D66" s="98" t="n">
        <x:f>1/(1+'Sources &amp; Assumptions'!$C$98)^((DATE(D$41,6,30)-'Sources &amp; Assumptions'!$K$98)/365)</x:f>
        <x:v>0.6684068386521467</x:v>
      </x:c>
      <x:c r="E66" s="98" t="n">
        <x:f>1/(1+'Sources &amp; Assumptions'!$C$98)^((DATE(E$41,6,30)-'Sources &amp; Assumptions'!$K$98)/365)</x:f>
        <x:v>0.6019961770486264</x:v>
      </x:c>
      <x:c r="F66" s="98" t="n">
        <x:f>1/(1+'Sources &amp; Assumptions'!$C$98)^((DATE(F$41,6,30)-'Sources &amp; Assumptions'!$K$98)/365)</x:f>
        <x:v>0.5423388982420058</x:v>
      </x:c>
      <x:c r="G66" s="98" t="n">
        <x:f>1/(1+'Sources &amp; Assumptions'!$C$98)^((DATE(G$41,6,30)-'Sources &amp; Assumptions'!$K$98)/365)</x:f>
        <x:v>0.48859360201982494</x:v>
      </x:c>
      <x:c r="H66" s="98" t="n">
        <x:f>1/(1+'Sources &amp; Assumptions'!$C$98)^((DATE(H$41,6,30)-'Sources &amp; Assumptions'!$K$98)/365)</x:f>
        <x:v>0.44017441623407655</x:v>
      </x:c>
      <x:c r="I66" s="98" t="n">
        <x:f>1/(1+'Sources &amp; Assumptions'!$C$98)^((DATE(I$41,6,30)-'Sources &amp; Assumptions'!$K$98)/365)</x:f>
        <x:v>0.3964401626139375</x:v>
      </x:c>
      <x:c r="J66" s="98" t="n">
        <x:f>1/(1+'Sources &amp; Assumptions'!$C$98)^((DATE(J$41,6,30)-'Sources &amp; Assumptions'!$K$98)/365)</x:f>
        <x:v>0.3571532996521959</x:v>
      </x:c>
      <x:c r="K66" s="98" t="n">
        <x:f>1/(1+'Sources &amp; Assumptions'!$C$98)^((DATE(K$41,6,30)-'Sources &amp; Assumptions'!$K$98)/365)</x:f>
        <x:v>0.3217597294163927</x:v>
      </x:c>
      <x:c r="L66" s="98" t="n">
        <x:f>1/(1+'Sources &amp; Assumptions'!$C$98)^((DATE(L$41,6,30)-'Sources &amp; Assumptions'!$K$98)/365)</x:f>
        <x:v>0.2898736301048583</x:v>
      </x:c>
      <x:c r="M66" s="98" t="n">
        <x:f>1/(1+'Sources &amp; Assumptions'!$C$98)^((DATE(M$41,6,30)-'Sources &amp; Assumptions'!$K$98)/365)</x:f>
        <x:v>0.26107275847479366</x:v>
      </x:c>
      <x:c r="N66" s="98" t="n">
        <x:f>1/(1+'Sources &amp; Assumptions'!$C$98)^((DATE(N$41,6,30)-'Sources &amp; Assumptions'!$K$98)/365)</x:f>
        <x:v>0.23520068331062494</x:v>
      </x:c>
      <x:c r="O66" s="1"/>
      <x:c r="P66" s="1"/>
      <x:c r="Q66" s="1"/>
    </x:row>
    <x:row r="67">
      <x:c r="A67" s="17" t="str">
        <x:v>PV of FCFF — target date</x:v>
      </x:c>
      <x:c r="B67" s="17" t="str">
        <x:v>$m</x:v>
      </x:c>
      <x:c r="C67" s="33" t="n">
        <x:f>IF(C$41='Sources &amp; Assumptions'!$C$101,0,C62*C66)</x:f>
        <x:v>412.5272970582891</x:v>
      </x:c>
      <x:c r="D67" s="33" t="n">
        <x:f>IF(D$41='Sources &amp; Assumptions'!$C$101,0,D62*D66)</x:f>
        <x:v>469.4940125417455</x:v>
      </x:c>
      <x:c r="E67" s="33" t="n">
        <x:f>IF(E$41='Sources &amp; Assumptions'!$C$101,0,E62*E66)</x:f>
        <x:v>522.87415193671</x:v>
      </x:c>
      <x:c r="F67" s="33" t="n">
        <x:f>IF(F$41='Sources &amp; Assumptions'!$C$101,0,F62*F66)</x:f>
        <x:v>564.8994289398313</x:v>
      </x:c>
      <x:c r="G67" s="33" t="n">
        <x:f>IF(G$41='Sources &amp; Assumptions'!$C$101,0,G62*G66)</x:f>
        <x:v>594.8746060357325</x:v>
      </x:c>
      <x:c r="H67" s="33" t="n">
        <x:f>IF(H$41='Sources &amp; Assumptions'!$C$101,0,H62*H66)</x:f>
        <x:v>612.6228491628202</x:v>
      </x:c>
      <x:c r="I67" s="33" t="n">
        <x:f>IF(I$41='Sources &amp; Assumptions'!$C$101,0,I62*I66)</x:f>
        <x:v>618.2198588827434</x:v>
      </x:c>
      <x:c r="J67" s="33" t="n">
        <x:f>IF(J$41='Sources &amp; Assumptions'!$C$101,0,J62*J66)</x:f>
        <x:v>612.6923081474482</x:v>
      </x:c>
      <x:c r="K67" s="33" t="n">
        <x:f>IF(K$41='Sources &amp; Assumptions'!$C$101,0,K62*K66)</x:f>
        <x:v>596.9287791187411</x:v>
      </x:c>
      <x:c r="L67" s="33" t="n">
        <x:f>IF(L$41='Sources &amp; Assumptions'!$C$101,0,L62*L66)</x:f>
        <x:v>572.3230391034699</x:v>
      </x:c>
      <x:c r="M67" s="33" t="n">
        <x:f>IF(M$41='Sources &amp; Assumptions'!$C$101,0,M62*M66)</x:f>
        <x:v>540.3569772920885</x:v>
      </x:c>
      <x:c r="N67" s="33" t="n">
        <x:f>IF(N$41='Sources &amp; Assumptions'!$C$101,0,N62*N66)</x:f>
        <x:v>0</x:v>
      </x:c>
      <x:c r="O67" s="1"/>
      <x:c r="P67" s="1"/>
      <x:c r="Q67" s="1"/>
    </x:row>
    <x:row r="68">
      <x:c r="A68" s="17" t="str">
        <x:v>Terminal value</x:v>
      </x:c>
      <x:c r="B68" s="17" t="str">
        <x:v>$m</x:v>
      </x:c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 t="n">
        <x:f>N62/('Sources &amp; Assumptions'!C$98-'Sources &amp; Assumptions'!C$99)</x:f>
        <x:v>28666.594193297988</x:v>
      </x:c>
      <x:c r="O68" s="1"/>
      <x:c r="P68" s="1"/>
      <x:c r="Q68" s="1"/>
    </x:row>
    <x:row r="69">
      <x:c r="A69" s="17" t="str">
        <x:v>PV of terminal value — valuation date</x:v>
      </x:c>
      <x:c r="B69" s="17" t="str">
        <x:v>$m</x:v>
      </x:c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 t="n">
        <x:f>N68/(1+'Sources &amp; Assumptions'!C$98)^((DATE('Sources &amp; Assumptions'!C$100,12,31)-'Sources &amp; Assumptions'!$K$97)/365)</x:f>
        <x:v>6396.861230145541</x:v>
      </x:c>
      <x:c r="O69" s="1"/>
      <x:c r="P69" s="1"/>
      <x:c r="Q69" s="1"/>
    </x:row>
    <x:row r="70">
      <x:c r="A70" s="17" t="str">
        <x:v>PV of terminal value — target date</x:v>
      </x:c>
      <x:c r="B70" s="17" t="str">
        <x:v>$m</x:v>
      </x:c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 t="n">
        <x:f>N68/(1+'Sources &amp; Assumptions'!C$98)^((DATE('Sources &amp; Assumptions'!C$100,12,31)-'Sources &amp; Assumptions'!$K$98)/365)</x:f>
        <x:v>7100.51596546155</x:v>
      </x:c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0" customHeight="1">
      <x:c r="A76" s="11" t="str">
        <x:v>Base scenario operating transition and FCFF</x:v>
      </x:c>
      <x:c r="B76" s="11" t="str">
        <x:v>Base scenario operating transition and FCFF</x:v>
      </x:c>
      <x:c r="C76" s="11" t="str">
        <x:v>Base scenario operating transition and FCFF</x:v>
      </x:c>
      <x:c r="D76" s="11" t="str">
        <x:v>Base scenario operating transition and FCFF</x:v>
      </x:c>
      <x:c r="E76" s="11" t="str">
        <x:v>Base scenario operating transition and FCFF</x:v>
      </x:c>
      <x:c r="F76" s="11" t="str">
        <x:v>Base scenario operating transition and FCFF</x:v>
      </x:c>
      <x:c r="G76" s="11" t="str">
        <x:v>Base scenario operating transition and FCFF</x:v>
      </x:c>
      <x:c r="H76" s="11" t="str">
        <x:v>Base scenario operating transition and FCFF</x:v>
      </x:c>
      <x:c r="I76" s="11" t="str">
        <x:v>Base scenario operating transition and FCFF</x:v>
      </x:c>
      <x:c r="J76" s="11" t="str">
        <x:v>Base scenario operating transition and FCFF</x:v>
      </x:c>
      <x:c r="K76" s="11" t="str">
        <x:v>Base scenario operating transition and FCFF</x:v>
      </x:c>
      <x:c r="L76" s="11" t="str">
        <x:v>Base scenario operating transition and FCFF</x:v>
      </x:c>
      <x:c r="M76" s="11" t="str">
        <x:v>Base scenario operating transition and FCFF</x:v>
      </x:c>
      <x:c r="N76" s="11" t="str">
        <x:v>Base scenario operating transition and FCFF</x:v>
      </x:c>
      <x:c r="O76" s="11" t="str">
        <x:v>Base scenario operating transition and FCFF</x:v>
      </x:c>
      <x:c r="P76" s="11" t="str">
        <x:v>Base scenario operating transition and FCFF</x:v>
      </x:c>
      <x:c r="Q76" s="11" t="str">
        <x:v>Base scenario operating transition and FCFF</x:v>
      </x:c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6" t="str">
        <x:v>Line item</x:v>
      </x:c>
      <x:c r="B78" s="16" t="str">
        <x:v>Unit</x:v>
      </x:c>
      <x:c r="C78" s="16" t="n">
        <x:v>2030</x:v>
      </x:c>
      <x:c r="D78" s="16" t="n">
        <x:f>C78+1</x:f>
        <x:v>2031</x:v>
      </x:c>
      <x:c r="E78" s="16" t="n">
        <x:f>D78+1</x:f>
        <x:v>2032</x:v>
      </x:c>
      <x:c r="F78" s="16" t="n">
        <x:f>E78+1</x:f>
        <x:v>2033</x:v>
      </x:c>
      <x:c r="G78" s="16" t="n">
        <x:f>F78+1</x:f>
        <x:v>2034</x:v>
      </x:c>
      <x:c r="H78" s="16" t="n">
        <x:f>G78+1</x:f>
        <x:v>2035</x:v>
      </x:c>
      <x:c r="I78" s="16" t="n">
        <x:f>H78+1</x:f>
        <x:v>2036</x:v>
      </x:c>
      <x:c r="J78" s="16" t="n">
        <x:f>I78+1</x:f>
        <x:v>2037</x:v>
      </x:c>
      <x:c r="K78" s="16" t="n">
        <x:f>J78+1</x:f>
        <x:v>2038</x:v>
      </x:c>
      <x:c r="L78" s="16" t="n">
        <x:f>K78+1</x:f>
        <x:v>2039</x:v>
      </x:c>
      <x:c r="M78" s="16" t="n">
        <x:f>L78+1</x:f>
        <x:v>2040</x:v>
      </x:c>
      <x:c r="N78" s="16" t="n">
        <x:f>M78+1</x:f>
        <x:v>2041</x:v>
      </x:c>
      <x:c r="O78" s="1"/>
      <x:c r="P78" s="1"/>
      <x:c r="Q78" s="1"/>
    </x:row>
    <x:row r="79">
      <x:c r="A79" s="17" t="str">
        <x:v>Revenue growth</x:v>
      </x:c>
      <x:c r="B79" s="17" t="str">
        <x:v>%</x:v>
      </x:c>
      <x:c r="C79" s="32" t="n">
        <x:f>'Sources &amp; Assumptions'!$D$102</x:f>
        <x:v>0.17999999999999994</x:v>
      </x:c>
      <x:c r="D79" s="32" t="n">
        <x:f>'Sources &amp; Assumptions'!$D$103</x:f>
        <x:v>0.16</x:v>
      </x:c>
      <x:c r="E79" s="32" t="n">
        <x:f>IF(E$78&lt;='Sources &amp; Assumptions'!$D$100,$D79-($D79-'Sources &amp; Assumptions'!$D$104)*(E$78-$D$78)/('Sources &amp; Assumptions'!$D$100-$D$78),'Sources &amp; Assumptions'!$D$99)</x:f>
        <x:v>0.14666666666666667</x:v>
      </x:c>
      <x:c r="F79" s="32" t="n">
        <x:f>IF(F$78&lt;='Sources &amp; Assumptions'!$D$100,$D79-($D79-'Sources &amp; Assumptions'!$D$104)*(F$78-$D$78)/('Sources &amp; Assumptions'!$D$100-$D$78),'Sources &amp; Assumptions'!$D$99)</x:f>
        <x:v>0.13333333333333333</x:v>
      </x:c>
      <x:c r="G79" s="32" t="n">
        <x:f>IF(G$78&lt;='Sources &amp; Assumptions'!$D$100,$D79-($D79-'Sources &amp; Assumptions'!$D$104)*(G$78-$D$78)/('Sources &amp; Assumptions'!$D$100-$D$78),'Sources &amp; Assumptions'!$D$99)</x:f>
        <x:v>0.12</x:v>
      </x:c>
      <x:c r="H79" s="32" t="n">
        <x:f>IF(H$78&lt;='Sources &amp; Assumptions'!$D$100,$D79-($D79-'Sources &amp; Assumptions'!$D$104)*(H$78-$D$78)/('Sources &amp; Assumptions'!$D$100-$D$78),'Sources &amp; Assumptions'!$D$99)</x:f>
        <x:v>0.10666666666666667</x:v>
      </x:c>
      <x:c r="I79" s="32" t="n">
        <x:f>IF(I$78&lt;='Sources &amp; Assumptions'!$D$100,$D79-($D79-'Sources &amp; Assumptions'!$D$104)*(I$78-$D$78)/('Sources &amp; Assumptions'!$D$100-$D$78),'Sources &amp; Assumptions'!$D$99)</x:f>
        <x:v>0.09333333333333334</x:v>
      </x:c>
      <x:c r="J79" s="32" t="n">
        <x:f>IF(J$78&lt;='Sources &amp; Assumptions'!$D$100,$D79-($D79-'Sources &amp; Assumptions'!$D$104)*(J$78-$D$78)/('Sources &amp; Assumptions'!$D$100-$D$78),'Sources &amp; Assumptions'!$D$99)</x:f>
        <x:v>0.08</x:v>
      </x:c>
      <x:c r="K79" s="32" t="n">
        <x:f>IF(K$78&lt;='Sources &amp; Assumptions'!$D$100,$D79-($D79-'Sources &amp; Assumptions'!$D$104)*(K$78-$D$78)/('Sources &amp; Assumptions'!$D$100-$D$78),'Sources &amp; Assumptions'!$D$99)</x:f>
        <x:v>0.06666666666666668</x:v>
      </x:c>
      <x:c r="L79" s="32" t="n">
        <x:f>IF(L$78&lt;='Sources &amp; Assumptions'!$D$100,$D79-($D79-'Sources &amp; Assumptions'!$D$104)*(L$78-$D$78)/('Sources &amp; Assumptions'!$D$100-$D$78),'Sources &amp; Assumptions'!$D$99)</x:f>
        <x:v>0.053333333333333344</x:v>
      </x:c>
      <x:c r="M79" s="32" t="n">
        <x:f>IF(M$78&lt;='Sources &amp; Assumptions'!$D$100,$D79-($D79-'Sources &amp; Assumptions'!$D$104)*(M$78-$D$78)/('Sources &amp; Assumptions'!$D$100-$D$78),'Sources &amp; Assumptions'!$D$99)</x:f>
        <x:v>0.039999999999999994</x:v>
      </x:c>
      <x:c r="N79" s="32" t="n">
        <x:f>IF(N$78&lt;='Sources &amp; Assumptions'!$D$100,$D79-($D79-'Sources &amp; Assumptions'!$D$104)*(N$78-$D$78)/('Sources &amp; Assumptions'!$D$100-$D$78),'Sources &amp; Assumptions'!$D$99)</x:f>
        <x:v>0.03</x:v>
      </x:c>
      <x:c r="O79" s="1"/>
      <x:c r="P79" s="1"/>
      <x:c r="Q79" s="1"/>
    </x:row>
    <x:row r="80">
      <x:c r="A80" s="17" t="str">
        <x:v>Maturity progress</x:v>
      </x:c>
      <x:c r="B80" s="17" t="str">
        <x:v>%</x:v>
      </x:c>
      <x:c r="C80" s="32" t="n">
        <x:f>0</x:f>
        <x:v>0</x:v>
      </x:c>
      <x:c r="D80" s="32" t="n">
        <x:f>MIN(1,($C79-D79)/($C79-'Sources &amp; Assumptions'!$D$104))</x:f>
        <x:v>0.14285714285714246</x:v>
      </x:c>
      <x:c r="E80" s="32" t="n">
        <x:f>MIN(1,($C79-E79)/($C79-'Sources &amp; Assumptions'!$D$104))</x:f>
        <x:v>0.23809523809523778</x:v>
      </x:c>
      <x:c r="F80" s="32" t="n">
        <x:f>MIN(1,($C79-F79)/($C79-'Sources &amp; Assumptions'!$D$104))</x:f>
        <x:v>0.3333333333333331</x:v>
      </x:c>
      <x:c r="G80" s="32" t="n">
        <x:f>MIN(1,($C79-G79)/($C79-'Sources &amp; Assumptions'!$D$104))</x:f>
        <x:v>0.4285714285714284</x:v>
      </x:c>
      <x:c r="H80" s="32" t="n">
        <x:f>MIN(1,($C79-H79)/($C79-'Sources &amp; Assumptions'!$D$104))</x:f>
        <x:v>0.5238095238095236</x:v>
      </x:c>
      <x:c r="I80" s="32" t="n">
        <x:f>MIN(1,($C79-I79)/($C79-'Sources &amp; Assumptions'!$D$104))</x:f>
        <x:v>0.6190476190476188</x:v>
      </x:c>
      <x:c r="J80" s="32" t="n">
        <x:f>MIN(1,($C79-J79)/($C79-'Sources &amp; Assumptions'!$D$104))</x:f>
        <x:v>0.7142857142857142</x:v>
      </x:c>
      <x:c r="K80" s="32" t="n">
        <x:f>MIN(1,($C79-K79)/($C79-'Sources &amp; Assumptions'!$D$104))</x:f>
        <x:v>0.8095238095238094</x:v>
      </x:c>
      <x:c r="L80" s="32" t="n">
        <x:f>MIN(1,($C79-L79)/($C79-'Sources &amp; Assumptions'!$D$104))</x:f>
        <x:v>0.9047619047619047</x:v>
      </x:c>
      <x:c r="M80" s="32" t="n">
        <x:f>MIN(1,($C79-M79)/($C79-'Sources &amp; Assumptions'!$D$104))</x:f>
        <x:v>1</x:v>
      </x:c>
      <x:c r="N80" s="32" t="n">
        <x:f>MIN(1,($C79-N79)/($C79-'Sources &amp; Assumptions'!$D$104))</x:f>
        <x:v>1</x:v>
      </x:c>
      <x:c r="O80" s="1"/>
      <x:c r="P80" s="1"/>
      <x:c r="Q80" s="1"/>
    </x:row>
    <x:row r="81">
      <x:c r="A81" s="17" t="str">
        <x:v>Revenue</x:v>
      </x:c>
      <x:c r="B81" s="17" t="str">
        <x:v>$m</x:v>
      </x:c>
      <x:c r="C81" s="33" t="n">
        <x:f>'Sources &amp; Assumptions'!G139</x:f>
        <x:v>3768.49591272</x:v>
      </x:c>
      <x:c r="D81" s="33" t="n">
        <x:f>C81*(1+D79)</x:f>
        <x:v>4371.4552587552</x:v>
      </x:c>
      <x:c r="E81" s="33" t="n">
        <x:f>D81*(1+E79)</x:f>
        <x:v>5012.602030039296</x:v>
      </x:c>
      <x:c r="F81" s="33" t="n">
        <x:f>E81*(1+F79)</x:f>
        <x:v>5680.948967377868</x:v>
      </x:c>
      <x:c r="G81" s="33" t="n">
        <x:f>F81*(1+G79)</x:f>
        <x:v>6362.662843463213</x:v>
      </x:c>
      <x:c r="H81" s="33" t="n">
        <x:f>G81*(1+H79)</x:f>
        <x:v>7041.34688009929</x:v>
      </x:c>
      <x:c r="I81" s="33" t="n">
        <x:f>H81*(1+I79)</x:f>
        <x:v>7698.539255575223</x:v>
      </x:c>
      <x:c r="J81" s="33" t="n">
        <x:f>I81*(1+J79)</x:f>
        <x:v>8314.422396021242</x:v>
      </x:c>
      <x:c r="K81" s="33" t="n">
        <x:f>J81*(1+K79)</x:f>
        <x:v>8868.717222422658</x:v>
      </x:c>
      <x:c r="L81" s="33" t="n">
        <x:f>K81*(1+L79)</x:f>
        <x:v>9341.715474285198</x:v>
      </x:c>
      <x:c r="M81" s="33" t="n">
        <x:f>L81*(1+M79)</x:f>
        <x:v>9715.384093256607</x:v>
      </x:c>
      <x:c r="N81" s="33" t="n">
        <x:f>M81*(1+N79)</x:f>
        <x:v>10006.845616054306</x:v>
      </x:c>
      <x:c r="O81" s="1"/>
      <x:c r="P81" s="1"/>
      <x:c r="Q81" s="1"/>
    </x:row>
    <x:row r="82">
      <x:c r="A82" s="17" t="str">
        <x:v>Increase in revenue</x:v>
      </x:c>
      <x:c r="B82" s="17" t="str">
        <x:v>$m</x:v>
      </x:c>
      <x:c r="C82" s="33"/>
      <x:c r="D82" s="33" t="n">
        <x:f>D81-C81</x:f>
        <x:v>602.9593460351998</x:v>
      </x:c>
      <x:c r="E82" s="33" t="n">
        <x:f>E81-D81</x:f>
        <x:v>641.1467712840958</x:v>
      </x:c>
      <x:c r="F82" s="33" t="n">
        <x:f>F81-E81</x:f>
        <x:v>668.3469373385724</x:v>
      </x:c>
      <x:c r="G82" s="33" t="n">
        <x:f>G81-F81</x:f>
        <x:v>681.713876085345</x:v>
      </x:c>
      <x:c r="H82" s="33" t="n">
        <x:f>H81-G81</x:f>
        <x:v>678.6840366360766</x:v>
      </x:c>
      <x:c r="I82" s="33" t="n">
        <x:f>I81-H81</x:f>
        <x:v>657.1923754759337</x:v>
      </x:c>
      <x:c r="J82" s="33" t="n">
        <x:f>J81-I81</x:f>
        <x:v>615.8831404460188</x:v>
      </x:c>
      <x:c r="K82" s="33" t="n">
        <x:f>K81-J81</x:f>
        <x:v>554.2948264014158</x:v>
      </x:c>
      <x:c r="L82" s="33" t="n">
        <x:f>L81-K81</x:f>
        <x:v>472.9982518625402</x:v>
      </x:c>
      <x:c r="M82" s="33" t="n">
        <x:f>M81-L81</x:f>
        <x:v>373.66861897140916</x:v>
      </x:c>
      <x:c r="N82" s="33" t="n">
        <x:f>N81-M81</x:f>
        <x:v>291.4615227976992</x:v>
      </x:c>
      <x:c r="O82" s="1"/>
      <x:c r="P82" s="1"/>
      <x:c r="Q82" s="1"/>
    </x:row>
    <x:row r="83">
      <x:c r="A83" s="17" t="str">
        <x:v>Gross profit</x:v>
      </x:c>
      <x:c r="B83" s="17" t="str">
        <x:v>$m</x:v>
      </x:c>
      <x:c r="C83" s="33" t="n">
        <x:f>'Sources &amp; Assumptions'!G140</x:f>
        <x:v>2164.5783611232005</x:v>
      </x:c>
      <x:c r="D83" s="33" t="n">
        <x:f>IF(D$78&gt;'Sources &amp; Assumptions'!$D$100,D81*C83/C81,C83+D84*D82)</x:f>
        <x:v>2502.2355949029125</x:v>
      </x:c>
      <x:c r="E83" s="33" t="n">
        <x:f>IF(E$78&gt;'Sources &amp; Assumptions'!$D$100,E81*D83/D81,D83+E84*E82)</x:f>
        <x:v>2861.277786822006</x:v>
      </x:c>
      <x:c r="F83" s="33" t="n">
        <x:f>IF(F$78&gt;'Sources &amp; Assumptions'!$D$100,F81*E83/E81,E83+F84*F82)</x:f>
        <x:v>3235.5520717316067</x:v>
      </x:c>
      <x:c r="G83" s="33" t="n">
        <x:f>IF(G$78&gt;'Sources &amp; Assumptions'!$D$100,G81*F83/F81,F83+G84*G82)</x:f>
        <x:v>3617.3118423394</x:v>
      </x:c>
      <x:c r="H83" s="33" t="n">
        <x:f>IF(H$78&gt;'Sources &amp; Assumptions'!$D$100,H81*G83/G81,G83+H84*H82)</x:f>
        <x:v>3997.3749028556026</x:v>
      </x:c>
      <x:c r="I83" s="33" t="n">
        <x:f>IF(I$78&gt;'Sources &amp; Assumptions'!$D$100,I81*H83/H81,H83+I84*I82)</x:f>
        <x:v>4365.402633122126</x:v>
      </x:c>
      <x:c r="J83" s="33" t="n">
        <x:f>IF(J$78&gt;'Sources &amp; Assumptions'!$D$100,J81*I83/I81,I83+J84*J82)</x:f>
        <x:v>4710.297191771896</x:v>
      </x:c>
      <x:c r="K83" s="33" t="n">
        <x:f>IF(K$78&gt;'Sources &amp; Assumptions'!$D$100,K81*J83/J81,J83+K84*K82)</x:f>
        <x:v>5020.702294556689</x:v>
      </x:c>
      <x:c r="L83" s="33" t="n">
        <x:f>IF(L$78&gt;'Sources &amp; Assumptions'!$D$100,L81*K83/K81,K83+L84*L82)</x:f>
        <x:v>5285.581315599711</x:v>
      </x:c>
      <x:c r="M83" s="33" t="n">
        <x:f>IF(M$78&gt;'Sources &amp; Assumptions'!$D$100,M81*L83/L81,L83+M84*M82)</x:f>
        <x:v>5494.8357422237</x:v>
      </x:c>
      <x:c r="N83" s="33" t="n">
        <x:f>IF(N$78&gt;'Sources &amp; Assumptions'!$D$100,N81*M83/M81,M83+N84*N82)</x:f>
        <x:v>5659.680814490413</x:v>
      </x:c>
      <x:c r="O83" s="1"/>
      <x:c r="P83" s="1"/>
      <x:c r="Q83" s="1"/>
    </x:row>
    <x:row r="84">
      <x:c r="A84" s="17" t="str">
        <x:v>Incremental gross margin</x:v>
      </x:c>
      <x:c r="B84" s="17" t="str">
        <x:v>%</x:v>
      </x:c>
      <x:c r="C84" s="32" t="n">
        <x:f>'Sources &amp; Assumptions'!$D$105</x:f>
        <x:v>0.56</x:v>
      </x:c>
      <x:c r="D84" s="32" t="n">
        <x:f>'Sources &amp; Assumptions'!$D$105</x:f>
        <x:v>0.56</x:v>
      </x:c>
      <x:c r="E84" s="32" t="n">
        <x:f>'Sources &amp; Assumptions'!$D$105</x:f>
        <x:v>0.56</x:v>
      </x:c>
      <x:c r="F84" s="32" t="n">
        <x:f>'Sources &amp; Assumptions'!$D$105</x:f>
        <x:v>0.56</x:v>
      </x:c>
      <x:c r="G84" s="32" t="n">
        <x:f>'Sources &amp; Assumptions'!$D$105</x:f>
        <x:v>0.56</x:v>
      </x:c>
      <x:c r="H84" s="32" t="n">
        <x:f>'Sources &amp; Assumptions'!$D$105</x:f>
        <x:v>0.56</x:v>
      </x:c>
      <x:c r="I84" s="32" t="n">
        <x:f>'Sources &amp; Assumptions'!$D$105</x:f>
        <x:v>0.56</x:v>
      </x:c>
      <x:c r="J84" s="32" t="n">
        <x:f>'Sources &amp; Assumptions'!$D$105</x:f>
        <x:v>0.56</x:v>
      </x:c>
      <x:c r="K84" s="32" t="n">
        <x:f>'Sources &amp; Assumptions'!$D$105</x:f>
        <x:v>0.56</x:v>
      </x:c>
      <x:c r="L84" s="32" t="n">
        <x:f>'Sources &amp; Assumptions'!$D$105</x:f>
        <x:v>0.56</x:v>
      </x:c>
      <x:c r="M84" s="32" t="n">
        <x:f>'Sources &amp; Assumptions'!$D$105</x:f>
        <x:v>0.56</x:v>
      </x:c>
      <x:c r="N84" s="32" t="n">
        <x:f>'Sources &amp; Assumptions'!$D$105</x:f>
        <x:v>0.56</x:v>
      </x:c>
      <x:c r="O84" s="1"/>
      <x:c r="P84" s="1"/>
      <x:c r="Q84" s="1"/>
    </x:row>
    <x:row r="85">
      <x:c r="A85" s="17" t="str">
        <x:v>S&amp;M</x:v>
      </x:c>
      <x:c r="B85" s="17" t="str">
        <x:v>$m</x:v>
      </x:c>
      <x:c r="C85" s="33" t="n">
        <x:f>'Sources &amp; Assumptions'!G141</x:f>
        <x:v>731.5523683644001</x:v>
      </x:c>
      <x:c r="D85" s="33" t="n">
        <x:f>IF(D$78&gt;'Sources &amp; Assumptions'!$D$100,D81*C85/C81,C85+D86*D82)</x:f>
        <x:v>822.9389541386813</x:v>
      </x:c>
      <x:c r="E85" s="33" t="n">
        <x:f>IF(E$78&gt;'Sources &amp; Assumptions'!$D$100,E81*D85/D81,D85+E86*E82)</x:f>
        <x:v>922.9187710367505</x:v>
      </x:c>
      <x:c r="F85" s="33" t="n">
        <x:f>IF(F$78&gt;'Sources &amp; Assumptions'!$D$100,F81*E85/E81,E85+F86*F82)</x:f>
        <x:v>1030.0645875138714</x:v>
      </x:c>
      <x:c r="G85" s="33" t="n">
        <x:f>IF(G$78&gt;'Sources &amp; Assumptions'!$D$100,G81*F85/F81,F85+G86*G82)</x:f>
        <x:v>1142.33624054176</x:v>
      </x:c>
      <x:c r="H85" s="33" t="n">
        <x:f>IF(H$78&gt;'Sources &amp; Assumptions'!$D$100,H81*G85/G81,G85+H86*H82)</x:f>
        <x:v>1257.0785712431</x:v>
      </x:c>
      <x:c r="I85" s="33" t="n">
        <x:f>IF(I$78&gt;'Sources &amp; Assumptions'!$D$100,I81*H85/H81,H85+I86*I82)</x:f>
        <x:v>1371.0630182816467</x:v>
      </x:c>
      <x:c r="J85" s="33" t="n">
        <x:f>IF(J$78&gt;'Sources &amp; Assumptions'!$D$100,J81*I85/I81,I85+J86*J82)</x:f>
        <x:v>1480.5775986496421</x:v>
      </x:c>
      <x:c r="K85" s="33" t="n">
        <x:f>IF(K$78&gt;'Sources &amp; Assumptions'!$D$100,K81*J85/J81,J85+K86*K82)</x:f>
        <x:v>1581.5661039812367</x:v>
      </x:c>
      <x:c r="L85" s="33" t="n">
        <x:f>IF(L$78&gt;'Sources &amp; Assumptions'!$D$100,L81*K85/K81,K85+L86*L82)</x:f>
        <x:v>1669.8126220245374</x:v>
      </x:c>
      <x:c r="M85" s="33" t="n">
        <x:f>IF(M$78&gt;'Sources &amp; Assumptions'!$D$100,M81*L85/L81,L85+M86*M82)</x:f>
        <x:v>1741.162402805414</x:v>
      </x:c>
      <x:c r="N85" s="33" t="n">
        <x:f>IF(N$78&gt;'Sources &amp; Assumptions'!$D$100,N81*M85/M81,M85+N86*N82)</x:f>
        <x:v>1793.3972748895767</x:v>
      </x:c>
      <x:c r="O85" s="1"/>
      <x:c r="P85" s="1"/>
      <x:c r="Q85" s="1"/>
    </x:row>
    <x:row r="86">
      <x:c r="A86" s="17" t="str">
        <x:v>Incremental S&amp;M cost ratio</x:v>
      </x:c>
      <x:c r="B86" s="17" t="str">
        <x:v>%</x:v>
      </x:c>
      <x:c r="C86" s="32" t="n">
        <x:f>'Sources &amp; Assumptions'!$D$106</x:f>
        <x:v>0.145</x:v>
      </x:c>
      <x:c r="D86" s="32" t="n">
        <x:f>'Sources &amp; Assumptions'!$D$106+('Sources &amp; Assumptions'!$D$107-'Sources &amp; Assumptions'!$D$106)*D80</x:f>
        <x:v>0.15156342857142854</x:v>
      </x:c>
      <x:c r="E86" s="32" t="n">
        <x:f>'Sources &amp; Assumptions'!$D$106+('Sources &amp; Assumptions'!$D$107-'Sources &amp; Assumptions'!$D$106)*E80</x:f>
        <x:v>0.1559390476190476</x:v>
      </x:c>
      <x:c r="F86" s="32" t="n">
        <x:f>'Sources &amp; Assumptions'!$D$106+('Sources &amp; Assumptions'!$D$107-'Sources &amp; Assumptions'!$D$106)*F80</x:f>
        <x:v>0.16031466666666666</x:v>
      </x:c>
      <x:c r="G86" s="32" t="n">
        <x:f>'Sources &amp; Assumptions'!$D$106+('Sources &amp; Assumptions'!$D$107-'Sources &amp; Assumptions'!$D$106)*G80</x:f>
        <x:v>0.1646902857142857</x:v>
      </x:c>
      <x:c r="H86" s="32" t="n">
        <x:f>'Sources &amp; Assumptions'!$D$106+('Sources &amp; Assumptions'!$D$107-'Sources &amp; Assumptions'!$D$106)*H80</x:f>
        <x:v>0.16906590476190475</x:v>
      </x:c>
      <x:c r="I86" s="32" t="n">
        <x:f>'Sources &amp; Assumptions'!$D$106+('Sources &amp; Assumptions'!$D$107-'Sources &amp; Assumptions'!$D$106)*I80</x:f>
        <x:v>0.1734415238095238</x:v>
      </x:c>
      <x:c r="J86" s="32" t="n">
        <x:f>'Sources &amp; Assumptions'!$D$106+('Sources &amp; Assumptions'!$D$107-'Sources &amp; Assumptions'!$D$106)*J80</x:f>
        <x:v>0.17781714285714284</x:v>
      </x:c>
      <x:c r="K86" s="32" t="n">
        <x:f>'Sources &amp; Assumptions'!$D$106+('Sources &amp; Assumptions'!$D$107-'Sources &amp; Assumptions'!$D$106)*K80</x:f>
        <x:v>0.1821927619047619</x:v>
      </x:c>
      <x:c r="L86" s="32" t="n">
        <x:f>'Sources &amp; Assumptions'!$D$106+('Sources &amp; Assumptions'!$D$107-'Sources &amp; Assumptions'!$D$106)*L80</x:f>
        <x:v>0.18656838095238096</x:v>
      </x:c>
      <x:c r="M86" s="32" t="n">
        <x:f>'Sources &amp; Assumptions'!$D$106+('Sources &amp; Assumptions'!$D$107-'Sources &amp; Assumptions'!$D$106)*M80</x:f>
        <x:v>0.190944</x:v>
      </x:c>
      <x:c r="N86" s="32" t="n">
        <x:f>'Sources &amp; Assumptions'!$D$106+('Sources &amp; Assumptions'!$D$107-'Sources &amp; Assumptions'!$D$106)*N80</x:f>
        <x:v>0.190944</x:v>
      </x:c>
      <x:c r="O86" s="1"/>
      <x:c r="P86" s="1"/>
      <x:c r="Q86" s="1"/>
    </x:row>
    <x:row r="87">
      <x:c r="A87" s="17" t="str">
        <x:v>R&amp;D</x:v>
      </x:c>
      <x:c r="B87" s="17" t="str">
        <x:v>$m</x:v>
      </x:c>
      <x:c r="C87" s="33" t="n">
        <x:f>'Sources &amp; Assumptions'!G142</x:f>
        <x:v>349.22699928077486</x:v>
      </x:c>
      <x:c r="D87" s="33" t="n">
        <x:f>IF(D$78&gt;'Sources &amp; Assumptions'!$D$100,D81*C87/C81,C87*(1+D79*D88))</x:f>
        <x:v>405.1033191656988</x:v>
      </x:c>
      <x:c r="E87" s="33" t="n">
        <x:f>IF(E$78&gt;'Sources &amp; Assumptions'!$D$100,E81*D87/D81,D87*(1+E79*E88))</x:f>
        <x:v>464.51847264333463</x:v>
      </x:c>
      <x:c r="F87" s="33" t="n">
        <x:f>IF(F$78&gt;'Sources &amp; Assumptions'!$D$100,F81*E87/E81,E87*(1+F79*F88))</x:f>
        <x:v>526.4542689957792</x:v>
      </x:c>
      <x:c r="G87" s="33" t="n">
        <x:f>IF(G$78&gt;'Sources &amp; Assumptions'!$D$100,G81*F87/F81,F87*(1+G79*G88))</x:f>
        <x:v>589.6287812752728</x:v>
      </x:c>
      <x:c r="H87" s="33" t="n">
        <x:f>IF(H$78&gt;'Sources &amp; Assumptions'!$D$100,H81*G87/G81,G87*(1+H79*H88))</x:f>
        <x:v>652.5225179446352</x:v>
      </x:c>
      <x:c r="I87" s="33" t="n">
        <x:f>IF(I$78&gt;'Sources &amp; Assumptions'!$D$100,I81*H87/H81,H87*(1+I79*I88))</x:f>
        <x:v>713.4246196194678</x:v>
      </x:c>
      <x:c r="J87" s="33" t="n">
        <x:f>IF(J$78&gt;'Sources &amp; Assumptions'!$D$100,J81*I87/I81,I87*(1+J79*J88))</x:f>
        <x:v>770.4985891890252</x:v>
      </x:c>
      <x:c r="K87" s="33" t="n">
        <x:f>IF(K$78&gt;'Sources &amp; Assumptions'!$D$100,K81*J87/J81,J87*(1+K79*K88))</x:f>
        <x:v>821.8651618016269</x:v>
      </x:c>
      <x:c r="L87" s="33" t="n">
        <x:f>IF(L$78&gt;'Sources &amp; Assumptions'!$D$100,L81*K87/K81,K87*(1+L79*L88))</x:f>
        <x:v>865.6979704310469</x:v>
      </x:c>
      <x:c r="M87" s="33" t="n">
        <x:f>IF(M$78&gt;'Sources &amp; Assumptions'!$D$100,M81*L87/L81,L87*(1+M79*M88))</x:f>
        <x:v>900.3258892482888</x:v>
      </x:c>
      <x:c r="N87" s="33" t="n">
        <x:f>IF(N$78&gt;'Sources &amp; Assumptions'!$D$100,N81*M87/M81,M87*(1+N79*N88))</x:f>
        <x:v>927.3356659257377</x:v>
      </x:c>
      <x:c r="O87" s="1"/>
      <x:c r="P87" s="1"/>
      <x:c r="Q87" s="1"/>
    </x:row>
    <x:row r="88">
      <x:c r="A88" s="17" t="str">
        <x:v>R&amp;D growth elasticity</x:v>
      </x:c>
      <x:c r="B88" s="17" t="str">
        <x:v>x</x:v>
      </x:c>
      <x:c r="C88" s="96" t="n">
        <x:f>'Sources &amp; Assumptions'!$D$108</x:f>
        <x:v>1</x:v>
      </x:c>
      <x:c r="D88" s="96" t="n">
        <x:f>'Sources &amp; Assumptions'!$D$108+('Sources &amp; Assumptions'!$D$109-'Sources &amp; Assumptions'!$D$108)*D80</x:f>
        <x:v>1</x:v>
      </x:c>
      <x:c r="E88" s="96" t="n">
        <x:f>'Sources &amp; Assumptions'!$D$108+('Sources &amp; Assumptions'!$D$109-'Sources &amp; Assumptions'!$D$108)*E80</x:f>
        <x:v>1</x:v>
      </x:c>
      <x:c r="F88" s="96" t="n">
        <x:f>'Sources &amp; Assumptions'!$D$108+('Sources &amp; Assumptions'!$D$109-'Sources &amp; Assumptions'!$D$108)*F80</x:f>
        <x:v>1</x:v>
      </x:c>
      <x:c r="G88" s="96" t="n">
        <x:f>'Sources &amp; Assumptions'!$D$108+('Sources &amp; Assumptions'!$D$109-'Sources &amp; Assumptions'!$D$108)*G80</x:f>
        <x:v>1</x:v>
      </x:c>
      <x:c r="H88" s="96" t="n">
        <x:f>'Sources &amp; Assumptions'!$D$108+('Sources &amp; Assumptions'!$D$109-'Sources &amp; Assumptions'!$D$108)*H80</x:f>
        <x:v>1</x:v>
      </x:c>
      <x:c r="I88" s="96" t="n">
        <x:f>'Sources &amp; Assumptions'!$D$108+('Sources &amp; Assumptions'!$D$109-'Sources &amp; Assumptions'!$D$108)*I80</x:f>
        <x:v>1</x:v>
      </x:c>
      <x:c r="J88" s="96" t="n">
        <x:f>'Sources &amp; Assumptions'!$D$108+('Sources &amp; Assumptions'!$D$109-'Sources &amp; Assumptions'!$D$108)*J80</x:f>
        <x:v>1</x:v>
      </x:c>
      <x:c r="K88" s="96" t="n">
        <x:f>'Sources &amp; Assumptions'!$D$108+('Sources &amp; Assumptions'!$D$109-'Sources &amp; Assumptions'!$D$108)*K80</x:f>
        <x:v>1</x:v>
      </x:c>
      <x:c r="L88" s="96" t="n">
        <x:f>'Sources &amp; Assumptions'!$D$108+('Sources &amp; Assumptions'!$D$109-'Sources &amp; Assumptions'!$D$108)*L80</x:f>
        <x:v>1</x:v>
      </x:c>
      <x:c r="M88" s="96" t="n">
        <x:f>'Sources &amp; Assumptions'!$D$108+('Sources &amp; Assumptions'!$D$109-'Sources &amp; Assumptions'!$D$108)*M80</x:f>
        <x:v>1</x:v>
      </x:c>
      <x:c r="N88" s="96" t="n">
        <x:f>'Sources &amp; Assumptions'!$D$108+('Sources &amp; Assumptions'!$D$109-'Sources &amp; Assumptions'!$D$108)*N80</x:f>
        <x:v>1</x:v>
      </x:c>
      <x:c r="O88" s="1"/>
      <x:c r="P88" s="1"/>
      <x:c r="Q88" s="1"/>
    </x:row>
    <x:row r="89">
      <x:c r="A89" s="17" t="str">
        <x:v>G&amp;A</x:v>
      </x:c>
      <x:c r="B89" s="17" t="str">
        <x:v>$m</x:v>
      </x:c>
      <x:c r="C89" s="33" t="n">
        <x:f>'Sources &amp; Assumptions'!G143</x:f>
        <x:v>466.9890886062081</x:v>
      </x:c>
      <x:c r="D89" s="33" t="n">
        <x:f>IF(D$78&gt;'Sources &amp; Assumptions'!$D$100,D81*C89/C81,C89*(1+D79*D90))</x:f>
        <x:v>516.0896556368037</x:v>
      </x:c>
      <x:c r="E89" s="33" t="n">
        <x:f>IF(E$78&gt;'Sources &amp; Assumptions'!$D$100,E81*D89/D81,D89*(1+E79*E90))</x:f>
        <x:v>568.7144167131661</x:v>
      </x:c>
      <x:c r="F89" s="33" t="n">
        <x:f>IF(F$78&gt;'Sources &amp; Assumptions'!$D$100,F81*E89/E81,E89*(1+F79*F90))</x:f>
        <x:v>624.3220485695646</x:v>
      </x:c>
      <x:c r="G89" s="33" t="n">
        <x:f>IF(G$78&gt;'Sources &amp; Assumptions'!$D$100,G81*F89/F81,F89*(1+G79*G90))</x:f>
        <x:v>682.1164324942899</x:v>
      </x:c>
      <x:c r="H89" s="33" t="n">
        <x:f>IF(H$78&gt;'Sources &amp; Assumptions'!$D$100,H81*G89/G81,G89*(1+H79*H90))</x:f>
        <x:v>741.0166450779238</x:v>
      </x:c>
      <x:c r="I89" s="33" t="n">
        <x:f>IF(I$78&gt;'Sources &amp; Assumptions'!$D$100,I81*H89/H81,H89*(1+I79*I90))</x:f>
        <x:v>799.6392952218663</x:v>
      </x:c>
      <x:c r="J89" s="33" t="n">
        <x:f>IF(J$78&gt;'Sources &amp; Assumptions'!$D$100,J81*I89/I81,I89*(1+J79*J90))</x:f>
        <x:v>856.2994509975872</x:v>
      </x:c>
      <x:c r="K89" s="33" t="n">
        <x:f>IF(K$78&gt;'Sources &amp; Assumptions'!$D$100,K81*J89/J81,J89*(1+K79*K90))</x:f>
        <x:v>909.0366235352164</x:v>
      </x:c>
      <x:c r="L89" s="33" t="n">
        <x:f>IF(L$78&gt;'Sources &amp; Assumptions'!$D$100,L81*K89/K81,K89*(1+L79*L90))</x:f>
        <x:v>955.6716452378486</x:v>
      </x:c>
      <x:c r="M89" s="33" t="n">
        <x:f>IF(M$78&gt;'Sources &amp; Assumptions'!$D$100,M81*L89/L81,L89*(1+M79*M90))</x:f>
        <x:v>993.8985110473625</x:v>
      </x:c>
      <x:c r="N89" s="33" t="n">
        <x:f>IF(N$78&gt;'Sources &amp; Assumptions'!$D$100,N81*M89/M81,M89*(1+N79*N90))</x:f>
        <x:v>1023.7154663787834</x:v>
      </x:c>
      <x:c r="O89" s="1"/>
      <x:c r="P89" s="1"/>
      <x:c r="Q89" s="1"/>
    </x:row>
    <x:row r="90">
      <x:c r="A90" s="17" t="str">
        <x:v>G&amp;A growth elasticity</x:v>
      </x:c>
      <x:c r="B90" s="17" t="str">
        <x:v>x</x:v>
      </x:c>
      <x:c r="C90" s="96" t="n">
        <x:f>'Sources &amp; Assumptions'!$D$110</x:f>
        <x:v>0.6</x:v>
      </x:c>
      <x:c r="D90" s="96" t="n">
        <x:f>'Sources &amp; Assumptions'!$D$110+('Sources &amp; Assumptions'!$D$111-'Sources &amp; Assumptions'!$D$110)*D80</x:f>
        <x:v>0.6571428571428569</x:v>
      </x:c>
      <x:c r="E90" s="96" t="n">
        <x:f>'Sources &amp; Assumptions'!$D$110+('Sources &amp; Assumptions'!$D$111-'Sources &amp; Assumptions'!$D$110)*E80</x:f>
        <x:v>0.6952380952380951</x:v>
      </x:c>
      <x:c r="F90" s="96" t="n">
        <x:f>'Sources &amp; Assumptions'!$D$110+('Sources &amp; Assumptions'!$D$111-'Sources &amp; Assumptions'!$D$110)*F80</x:f>
        <x:v>0.7333333333333332</x:v>
      </x:c>
      <x:c r="G90" s="96" t="n">
        <x:f>'Sources &amp; Assumptions'!$D$110+('Sources &amp; Assumptions'!$D$111-'Sources &amp; Assumptions'!$D$110)*G80</x:f>
        <x:v>0.7714285714285714</x:v>
      </x:c>
      <x:c r="H90" s="96" t="n">
        <x:f>'Sources &amp; Assumptions'!$D$110+('Sources &amp; Assumptions'!$D$111-'Sources &amp; Assumptions'!$D$110)*H80</x:f>
        <x:v>0.8095238095238094</x:v>
      </x:c>
      <x:c r="I90" s="96" t="n">
        <x:f>'Sources &amp; Assumptions'!$D$110+('Sources &amp; Assumptions'!$D$111-'Sources &amp; Assumptions'!$D$110)*I80</x:f>
        <x:v>0.8476190476190475</x:v>
      </x:c>
      <x:c r="J90" s="96" t="n">
        <x:f>'Sources &amp; Assumptions'!$D$110+('Sources &amp; Assumptions'!$D$111-'Sources &amp; Assumptions'!$D$110)*J80</x:f>
        <x:v>0.8857142857142857</x:v>
      </x:c>
      <x:c r="K90" s="96" t="n">
        <x:f>'Sources &amp; Assumptions'!$D$110+('Sources &amp; Assumptions'!$D$111-'Sources &amp; Assumptions'!$D$110)*K80</x:f>
        <x:v>0.9238095238095237</x:v>
      </x:c>
      <x:c r="L90" s="96" t="n">
        <x:f>'Sources &amp; Assumptions'!$D$110+('Sources &amp; Assumptions'!$D$111-'Sources &amp; Assumptions'!$D$110)*L80</x:f>
        <x:v>0.9619047619047618</x:v>
      </x:c>
      <x:c r="M90" s="96" t="n">
        <x:f>'Sources &amp; Assumptions'!$D$110+('Sources &amp; Assumptions'!$D$111-'Sources &amp; Assumptions'!$D$110)*M80</x:f>
        <x:v>1</x:v>
      </x:c>
      <x:c r="N90" s="96" t="n">
        <x:f>'Sources &amp; Assumptions'!$D$110+('Sources &amp; Assumptions'!$D$111-'Sources &amp; Assumptions'!$D$110)*N80</x:f>
        <x:v>1</x:v>
      </x:c>
      <x:c r="O90" s="1"/>
      <x:c r="P90" s="1"/>
      <x:c r="Q90" s="1"/>
    </x:row>
    <x:row r="91">
      <x:c r="A91" s="17" t="str">
        <x:v>Pre-D&amp;A operating profit</x:v>
      </x:c>
      <x:c r="B91" s="17" t="str">
        <x:v>$m</x:v>
      </x:c>
      <x:c r="C91" s="33" t="n">
        <x:f>C83-C85-C87-C89</x:f>
        <x:v>616.8099048718175</x:v>
      </x:c>
      <x:c r="D91" s="33" t="n">
        <x:f>D83-D85-D87-D89</x:f>
        <x:v>758.1036659617286</x:v>
      </x:c>
      <x:c r="E91" s="33" t="n">
        <x:f>E83-E85-E87-E89</x:f>
        <x:v>905.1261264287547</x:v>
      </x:c>
      <x:c r="F91" s="33" t="n">
        <x:f>F83-F85-F87-F89</x:f>
        <x:v>1054.711166652391</x:v>
      </x:c>
      <x:c r="G91" s="33" t="n">
        <x:f>G83-G85-G87-G89</x:f>
        <x:v>1203.230388028077</x:v>
      </x:c>
      <x:c r="H91" s="33" t="n">
        <x:f>H83-H85-H87-H89</x:f>
        <x:v>1346.7571685899434</x:v>
      </x:c>
      <x:c r="I91" s="33" t="n">
        <x:f>I83-I85-I87-I89</x:f>
        <x:v>1481.2756999991452</x:v>
      </x:c>
      <x:c r="J91" s="33" t="n">
        <x:f>J83-J85-J87-J89</x:f>
        <x:v>1602.9215529356418</x:v>
      </x:c>
      <x:c r="K91" s="33" t="n">
        <x:f>K83-K85-K87-K89</x:f>
        <x:v>1708.2344052386086</x:v>
      </x:c>
      <x:c r="L91" s="33" t="n">
        <x:f>L83-L85-L87-L89</x:f>
        <x:v>1794.3990779062779</x:v>
      </x:c>
      <x:c r="M91" s="33" t="n">
        <x:f>M83-M85-M87-M89</x:f>
        <x:v>1859.448939122635</x:v>
      </x:c>
      <x:c r="N91" s="33" t="n">
        <x:f>N83-N85-N87-N89</x:f>
        <x:v>1915.2324072963147</x:v>
      </x:c>
      <x:c r="O91" s="1"/>
      <x:c r="P91" s="1"/>
      <x:c r="Q91" s="1"/>
    </x:row>
    <x:row r="92">
      <x:c r="A92" s="17" t="str">
        <x:v>Operating fixed investment</x:v>
      </x:c>
      <x:c r="B92" s="17" t="str">
        <x:v>$m</x:v>
      </x:c>
      <x:c r="C92" s="33" t="n">
        <x:f>'Sources &amp; Assumptions'!C172</x:f>
        <x:v>56.523523351372816</x:v>
      </x:c>
      <x:c r="D92" s="33" t="n">
        <x:f>'Sources &amp; Assumptions'!D172</x:f>
        <x:v>61.402329751506926</x:v>
      </x:c>
      <x:c r="E92" s="33" t="n">
        <x:f>'Sources &amp; Assumptions'!E172</x:f>
        <x:v>66.72343822843936</x:v>
      </x:c>
      <x:c r="F92" s="33" t="n">
        <x:f>'Sources &amp; Assumptions'!F172</x:f>
        <x:v>72.4364216327675</x:v>
      </x:c>
      <x:c r="G92" s="33" t="n">
        <x:f>'Sources &amp; Assumptions'!G172</x:f>
        <x:v>78.4636418922074</x:v>
      </x:c>
      <x:c r="H92" s="33" t="n">
        <x:f>'Sources &amp; Assumptions'!H172</x:f>
        <x:v>84.69523065872504</x:v>
      </x:c>
      <x:c r="I92" s="33" t="n">
        <x:f>'Sources &amp; Assumptions'!I172</x:f>
        <x:v>90.98508785089575</x:v>
      </x:c>
      <x:c r="J92" s="33" t="n">
        <x:f>'Sources &amp; Assumptions'!J172</x:f>
        <x:v>97.14871579274852</x:v>
      </x:c>
      <x:c r="K92" s="33" t="n">
        <x:f>'Sources &amp; Assumptions'!K172</x:f>
        <x:v>102.96384398751252</x:v>
      </x:c>
      <x:c r="L92" s="33" t="n">
        <x:f>'Sources &amp; Assumptions'!L172</x:f>
        <x:v>108.17484502668805</x:v>
      </x:c>
      <x:c r="M92" s="33" t="n">
        <x:f>'Sources &amp; Assumptions'!M172</x:f>
        <x:v>112.50183882775558</x:v>
      </x:c>
      <x:c r="N92" s="33" t="n">
        <x:f>'Sources &amp; Assumptions'!N172</x:f>
        <x:v>115.87689399258825</x:v>
      </x:c>
      <x:c r="O92" s="1"/>
      <x:c r="P92" s="1"/>
      <x:c r="Q92" s="1"/>
    </x:row>
    <x:row r="93">
      <x:c r="A93" s="17" t="str">
        <x:v>D&amp;A</x:v>
      </x:c>
      <x:c r="B93" s="17" t="str">
        <x:v>$m</x:v>
      </x:c>
      <x:c r="C93" s="33" t="n">
        <x:f>'Sources &amp; Assumptions'!C171</x:f>
        <x:v>74.57791652615596</x:v>
      </x:c>
      <x:c r="D93" s="33" t="n">
        <x:f>'Sources &amp; Assumptions'!D171</x:f>
        <x:v>79.00757945227488</x:v>
      </x:c>
      <x:c r="E93" s="33" t="n">
        <x:f>'Sources &amp; Assumptions'!E171</x:f>
        <x:v>62.67451292686945</x:v>
      </x:c>
      <x:c r="F93" s="33" t="n">
        <x:f>'Sources &amp; Assumptions'!F171</x:f>
        <x:v>67.2780667541837</x:v>
      </x:c>
      <x:c r="G93" s="33" t="n">
        <x:f>'Sources &amp; Assumptions'!G171</x:f>
        <x:v>73.074397427154</x:v>
      </x:c>
      <x:c r="H93" s="33" t="n">
        <x:f>'Sources &amp; Assumptions'!H171</x:f>
        <x:v>79.21042583892958</x:v>
      </x:c>
      <x:c r="I93" s="33" t="n">
        <x:f>'Sources &amp; Assumptions'!I171</x:f>
        <x:v>85.61139891214843</x:v>
      </x:c>
      <x:c r="J93" s="33" t="n">
        <x:f>'Sources &amp; Assumptions'!J171</x:f>
        <x:v>92.14058987128038</x:v>
      </x:c>
      <x:c r="K93" s="33" t="n">
        <x:f>'Sources &amp; Assumptions'!K171</x:f>
        <x:v>98.6286040003783</x:v>
      </x:c>
      <x:c r="L93" s="33" t="n">
        <x:f>'Sources &amp; Assumptions'!L171</x:f>
        <x:v>104.86959099207664</x:v>
      </x:c>
      <x:c r="M93" s="33" t="n">
        <x:f>'Sources &amp; Assumptions'!M171</x:f>
        <x:v>110.62406047627422</x:v>
      </x:c>
      <x:c r="N93" s="33" t="n">
        <x:f>'Sources &amp; Assumptions'!N171</x:f>
        <x:v>113.94278229056246</x:v>
      </x:c>
      <x:c r="O93" s="1"/>
      <x:c r="P93" s="1"/>
      <x:c r="Q93" s="1"/>
    </x:row>
    <x:row r="94">
      <x:c r="A94" s="17" t="str">
        <x:v>Forecast GAAP EBIT</x:v>
      </x:c>
      <x:c r="B94" s="17" t="str">
        <x:v>$m</x:v>
      </x:c>
      <x:c r="C94" s="33" t="n">
        <x:f>C91-C93</x:f>
        <x:v>542.2319883456615</x:v>
      </x:c>
      <x:c r="D94" s="33" t="n">
        <x:f>D91-D93</x:f>
        <x:v>679.0960865094537</x:v>
      </x:c>
      <x:c r="E94" s="33" t="n">
        <x:f>E91-E93</x:f>
        <x:v>842.4516135018853</x:v>
      </x:c>
      <x:c r="F94" s="33" t="n">
        <x:f>F91-F93</x:f>
        <x:v>987.4330998982074</x:v>
      </x:c>
      <x:c r="G94" s="33" t="n">
        <x:f>G91-G93</x:f>
        <x:v>1130.155990600923</x:v>
      </x:c>
      <x:c r="H94" s="33" t="n">
        <x:f>H91-H93</x:f>
        <x:v>1267.5467427510139</x:v>
      </x:c>
      <x:c r="I94" s="33" t="n">
        <x:f>I91-I93</x:f>
        <x:v>1395.6643010869968</x:v>
      </x:c>
      <x:c r="J94" s="33" t="n">
        <x:f>J91-J93</x:f>
        <x:v>1510.7809630643615</x:v>
      </x:c>
      <x:c r="K94" s="33" t="n">
        <x:f>K91-K93</x:f>
        <x:v>1609.6058012382302</x:v>
      </x:c>
      <x:c r="L94" s="33" t="n">
        <x:f>L91-L93</x:f>
        <x:v>1689.5294869142012</x:v>
      </x:c>
      <x:c r="M94" s="33" t="n">
        <x:f>M91-M93</x:f>
        <x:v>1748.8248786463607</x:v>
      </x:c>
      <x:c r="N94" s="33" t="n">
        <x:f>N91-N93</x:f>
        <x:v>1801.2896250057522</x:v>
      </x:c>
      <x:c r="O94" s="1"/>
      <x:c r="P94" s="1"/>
      <x:c r="Q94" s="1"/>
    </x:row>
    <x:row r="95">
      <x:c r="A95" s="17" t="str">
        <x:v>Unlevered ETR</x:v>
      </x:c>
      <x:c r="B95" s="17" t="str">
        <x:v>%</x:v>
      </x:c>
      <x:c r="C95" s="32" t="n">
        <x:f>'Sources &amp; Assumptions'!$K$101</x:f>
        <x:v>0.25</x:v>
      </x:c>
      <x:c r="D95" s="32" t="n">
        <x:f>'Sources &amp; Assumptions'!$K$101</x:f>
        <x:v>0.25</x:v>
      </x:c>
      <x:c r="E95" s="32" t="n">
        <x:f>'Sources &amp; Assumptions'!$K$101</x:f>
        <x:v>0.25</x:v>
      </x:c>
      <x:c r="F95" s="32" t="n">
        <x:f>'Sources &amp; Assumptions'!$K$101</x:f>
        <x:v>0.25</x:v>
      </x:c>
      <x:c r="G95" s="32" t="n">
        <x:f>'Sources &amp; Assumptions'!$K$101</x:f>
        <x:v>0.25</x:v>
      </x:c>
      <x:c r="H95" s="32" t="n">
        <x:f>'Sources &amp; Assumptions'!$K$101</x:f>
        <x:v>0.25</x:v>
      </x:c>
      <x:c r="I95" s="32" t="n">
        <x:f>'Sources &amp; Assumptions'!$K$101</x:f>
        <x:v>0.25</x:v>
      </x:c>
      <x:c r="J95" s="32" t="n">
        <x:f>'Sources &amp; Assumptions'!$K$101</x:f>
        <x:v>0.25</x:v>
      </x:c>
      <x:c r="K95" s="32" t="n">
        <x:f>'Sources &amp; Assumptions'!$K$101</x:f>
        <x:v>0.25</x:v>
      </x:c>
      <x:c r="L95" s="32" t="n">
        <x:f>'Sources &amp; Assumptions'!$K$101</x:f>
        <x:v>0.25</x:v>
      </x:c>
      <x:c r="M95" s="32" t="n">
        <x:f>'Sources &amp; Assumptions'!$K$101</x:f>
        <x:v>0.25</x:v>
      </x:c>
      <x:c r="N95" s="32" t="n">
        <x:f>'Sources &amp; Assumptions'!$K$101</x:f>
        <x:v>0.25</x:v>
      </x:c>
      <x:c r="O95" s="1"/>
      <x:c r="P95" s="1"/>
      <x:c r="Q95" s="1"/>
    </x:row>
    <x:row r="96">
      <x:c r="A96" s="17" t="str">
        <x:v>NOPAT</x:v>
      </x:c>
      <x:c r="B96" s="17" t="str">
        <x:v>$m</x:v>
      </x:c>
      <x:c r="C96" s="33" t="n">
        <x:f>C94*(1-C95)</x:f>
        <x:v>406.6739912592461</x:v>
      </x:c>
      <x:c r="D96" s="33" t="n">
        <x:f>D94*(1-D95)</x:f>
        <x:v>509.3220648820903</x:v>
      </x:c>
      <x:c r="E96" s="33" t="n">
        <x:f>E94*(1-E95)</x:f>
        <x:v>631.838710126414</x:v>
      </x:c>
      <x:c r="F96" s="33" t="n">
        <x:f>F94*(1-F95)</x:f>
        <x:v>740.5748249236556</x:v>
      </x:c>
      <x:c r="G96" s="33" t="n">
        <x:f>G94*(1-G95)</x:f>
        <x:v>847.6169929506922</x:v>
      </x:c>
      <x:c r="H96" s="33" t="n">
        <x:f>H94*(1-H95)</x:f>
        <x:v>950.6600570632604</x:v>
      </x:c>
      <x:c r="I96" s="33" t="n">
        <x:f>I94*(1-I95)</x:f>
        <x:v>1046.7482258152477</x:v>
      </x:c>
      <x:c r="J96" s="33" t="n">
        <x:f>J94*(1-J95)</x:f>
        <x:v>1133.085722298271</x:v>
      </x:c>
      <x:c r="K96" s="33" t="n">
        <x:f>K94*(1-K95)</x:f>
        <x:v>1207.2043509286727</x:v>
      </x:c>
      <x:c r="L96" s="33" t="n">
        <x:f>L94*(1-L95)</x:f>
        <x:v>1267.1471151856508</x:v>
      </x:c>
      <x:c r="M96" s="33" t="n">
        <x:f>M94*(1-M95)</x:f>
        <x:v>1311.6186589847705</x:v>
      </x:c>
      <x:c r="N96" s="33" t="n">
        <x:f>N94*(1-N95)</x:f>
        <x:v>1350.9672187543142</x:v>
      </x:c>
      <x:c r="O96" s="1"/>
      <x:c r="P96" s="1"/>
      <x:c r="Q96" s="1"/>
    </x:row>
    <x:row r="97">
      <x:c r="A97" s="17" t="str">
        <x:v>Ending operating working capital</x:v>
      </x:c>
      <x:c r="B97" s="17" t="str">
        <x:v>$m</x:v>
      </x:c>
      <x:c r="C97" s="33" t="n">
        <x:f>'Sources &amp; Assumptions'!G147</x:f>
        <x:v>302.32147510119137</x:v>
      </x:c>
      <x:c r="D97" s="33" t="n">
        <x:f>D81*'Sources &amp; Assumptions'!$D$112/365+D81*SUM('Sources &amp; Assumptions'!$K$102:$K$103)-(D81-D83)*'Sources &amp; Assumptions'!$D$113/365-D81*SUM('Sources &amp; Assumptions'!$K$104:$K$106)</x:f>
        <x:v>350.1700160817652</x:v>
      </x:c>
      <x:c r="E97" s="33" t="n">
        <x:f>E81*'Sources &amp; Assumptions'!$D$112/365+E81*SUM('Sources &amp; Assumptions'!$K$102:$K$103)-(E81-E83)*'Sources &amp; Assumptions'!$D$113/365-E81*SUM('Sources &amp; Assumptions'!$K$104:$K$106)</x:f>
        <x:v>401.04896465777585</x:v>
      </x:c>
      <x:c r="F97" s="33" t="n">
        <x:f>F81*'Sources &amp; Assumptions'!$D$112/365+F81*SUM('Sources &amp; Assumptions'!$K$102:$K$103)-(F81-F83)*'Sources &amp; Assumptions'!$D$113/365-F81*SUM('Sources &amp; Assumptions'!$K$104:$K$106)</x:f>
        <x:v>454.0864140824657</x:v>
      </x:c>
      <x:c r="G97" s="33" t="n">
        <x:f>G81*'Sources &amp; Assumptions'!$D$112/365+G81*SUM('Sources &amp; Assumptions'!$K$102:$K$103)-(G81-G83)*'Sources &amp; Assumptions'!$D$113/365-G81*SUM('Sources &amp; Assumptions'!$K$104:$K$106)</x:f>
        <x:v>508.1846124956488</x:v>
      </x:c>
      <x:c r="H97" s="33" t="n">
        <x:f>H81*'Sources &amp; Assumptions'!$D$112/365+H81*SUM('Sources &amp; Assumptions'!$K$102:$K$103)-(H81-H83)*'Sources &amp; Assumptions'!$D$113/365-H81*SUM('Sources &amp; Assumptions'!$K$104:$K$106)</x:f>
        <x:v>562.0423744714408</x:v>
      </x:c>
      <x:c r="I97" s="33" t="n">
        <x:f>I81*'Sources &amp; Assumptions'!$D$112/365+I81*SUM('Sources &amp; Assumptions'!$K$102:$K$103)-(I81-I83)*'Sources &amp; Assumptions'!$D$113/365-I81*SUM('Sources &amp; Assumptions'!$K$104:$K$106)</x:f>
        <x:v>614.1946406513325</x:v>
      </x:c>
      <x:c r="J97" s="33" t="n">
        <x:f>J81*'Sources &amp; Assumptions'!$D$112/365+J81*SUM('Sources &amp; Assumptions'!$K$102:$K$103)-(J81-J83)*'Sources &amp; Assumptions'!$D$113/365-J81*SUM('Sources &amp; Assumptions'!$K$104:$K$106)</x:f>
        <x:v>663.0687643856306</x:v>
      </x:c>
      <x:c r="K97" s="33" t="n">
        <x:f>K81*'Sources &amp; Assumptions'!$D$112/365+K81*SUM('Sources &amp; Assumptions'!$K$102:$K$103)-(K81-K83)*'Sources &amp; Assumptions'!$D$113/365-K81*SUM('Sources &amp; Assumptions'!$K$104:$K$106)</x:f>
        <x:v>707.0554757464993</x:v>
      </x:c>
      <x:c r="L97" s="33" t="n">
        <x:f>L81*'Sources &amp; Assumptions'!$D$112/365+L81*SUM('Sources &amp; Assumptions'!$K$102:$K$103)-(L81-L83)*'Sources &amp; Assumptions'!$D$113/365-L81*SUM('Sources &amp; Assumptions'!$K$104:$K$106)</x:f>
        <x:v>744.5908027744397</x:v>
      </x:c>
      <x:c r="M97" s="33" t="n">
        <x:f>M81*'Sources &amp; Assumptions'!$D$112/365+M81*SUM('Sources &amp; Assumptions'!$K$102:$K$103)-(M81-M83)*'Sources &amp; Assumptions'!$D$113/365-M81*SUM('Sources &amp; Assumptions'!$K$104:$K$106)</x:f>
        <x:v>774.243711126514</x:v>
      </x:c>
      <x:c r="N97" s="33" t="n">
        <x:f>N81*'Sources &amp; Assumptions'!$D$112/365+N81*SUM('Sources &amp; Assumptions'!$K$102:$K$103)-(N81-N83)*'Sources &amp; Assumptions'!$D$113/365-N81*SUM('Sources &amp; Assumptions'!$K$104:$K$106)</x:f>
        <x:v>797.4710224603093</x:v>
      </x:c>
      <x:c r="O97" s="1"/>
      <x:c r="P97" s="1"/>
      <x:c r="Q97" s="1"/>
    </x:row>
    <x:row r="98">
      <x:c r="A98" s="17" t="str">
        <x:v>Investment in working capital</x:v>
      </x:c>
      <x:c r="B98" s="17" t="str">
        <x:v>$m</x:v>
      </x:c>
      <x:c r="C98" s="33" t="n">
        <x:f>'Sources &amp; Assumptions'!G148</x:f>
        <x:v>45.61831237554742</x:v>
      </x:c>
      <x:c r="D98" s="33" t="n">
        <x:f>D97-C97</x:f>
        <x:v>47.84854098057383</x:v>
      </x:c>
      <x:c r="E98" s="33" t="n">
        <x:f>E97-D97</x:f>
        <x:v>50.87894857601066</x:v>
      </x:c>
      <x:c r="F98" s="33" t="n">
        <x:f>F97-E97</x:f>
        <x:v>53.03744942468984</x:v>
      </x:c>
      <x:c r="G98" s="33" t="n">
        <x:f>G97-F97</x:f>
        <x:v>54.09819841318313</x:v>
      </x:c>
      <x:c r="H98" s="33" t="n">
        <x:f>H97-G97</x:f>
        <x:v>53.85776197579196</x:v>
      </x:c>
      <x:c r="I98" s="33" t="n">
        <x:f>I97-H97</x:f>
        <x:v>52.15226617989174</x:v>
      </x:c>
      <x:c r="J98" s="33" t="n">
        <x:f>J97-I97</x:f>
        <x:v>48.87412373429811</x:v>
      </x:c>
      <x:c r="K98" s="33" t="n">
        <x:f>K97-J97</x:f>
        <x:v>43.98671136086864</x:v>
      </x:c>
      <x:c r="L98" s="33" t="n">
        <x:f>L97-K97</x:f>
        <x:v>37.53532702794041</x:v>
      </x:c>
      <x:c r="M98" s="33" t="n">
        <x:f>M97-L97</x:f>
        <x:v>29.65290835207429</x:v>
      </x:c>
      <x:c r="N98" s="33" t="n">
        <x:f>N97-M97</x:f>
        <x:v>23.227311333795342</x:v>
      </x:c>
      <x:c r="O98" s="1"/>
      <x:c r="P98" s="1"/>
      <x:c r="Q98" s="1"/>
    </x:row>
    <x:row r="99">
      <x:c r="A99" s="17" t="str">
        <x:v>FCFF</x:v>
      </x:c>
      <x:c r="B99" s="17" t="str">
        <x:v>$m</x:v>
      </x:c>
      <x:c r="C99" s="33" t="n">
        <x:f>C96+C93-C92-C98</x:f>
        <x:v>379.1100720584818</x:v>
      </x:c>
      <x:c r="D99" s="33" t="n">
        <x:f>D96+D93-D92-D98</x:f>
        <x:v>479.0787736022844</x:v>
      </x:c>
      <x:c r="E99" s="33" t="n">
        <x:f>E96+E93-E92-E98</x:f>
        <x:v>576.9108362488333</x:v>
      </x:c>
      <x:c r="F99" s="33" t="n">
        <x:f>F96+F93-F92-F98</x:f>
        <x:v>682.3790206203819</x:v>
      </x:c>
      <x:c r="G99" s="33" t="n">
        <x:f>G96+G93-G92-G98</x:f>
        <x:v>788.1295500724556</x:v>
      </x:c>
      <x:c r="H99" s="33" t="n">
        <x:f>H96+H93-H92-H98</x:f>
        <x:v>891.317490267673</x:v>
      </x:c>
      <x:c r="I99" s="33" t="n">
        <x:f>I96+I93-I92-I98</x:f>
        <x:v>989.2222706966086</x:v>
      </x:c>
      <x:c r="J99" s="33" t="n">
        <x:f>J96+J93-J92-J98</x:f>
        <x:v>1079.2034726425047</x:v>
      </x:c>
      <x:c r="K99" s="33" t="n">
        <x:f>K96+K93-K92-K98</x:f>
        <x:v>1158.88239958067</x:v>
      </x:c>
      <x:c r="L99" s="33" t="n">
        <x:f>L96+L93-L92-L98</x:f>
        <x:v>1226.306534123099</x:v>
      </x:c>
      <x:c r="M99" s="33" t="n">
        <x:f>M96+M93-M92-M98</x:f>
        <x:v>1280.087972281215</x:v>
      </x:c>
      <x:c r="N99" s="33" t="n">
        <x:f>N96+N93-N92-N98</x:f>
        <x:v>1325.805795718493</x:v>
      </x:c>
      <x:c r="O99" s="1"/>
      <x:c r="P99" s="1"/>
      <x:c r="Q99" s="1"/>
    </x:row>
    <x:row r="100">
      <x:c r="A100" s="17" t="str">
        <x:v>FCFF margin</x:v>
      </x:c>
      <x:c r="B100" s="17" t="str">
        <x:v>%</x:v>
      </x:c>
      <x:c r="C100" s="32" t="n">
        <x:f>C99/C81</x:f>
        <x:v>0.10059983633758283</x:v>
      </x:c>
      <x:c r="D100" s="32" t="n">
        <x:f>D99/D81</x:f>
        <x:v>0.10959251444762703</x:v>
      </x:c>
      <x:c r="E100" s="32" t="n">
        <x:f>E99/E81</x:f>
        <x:v>0.11509208845855866</x:v>
      </x:c>
      <x:c r="F100" s="32" t="n">
        <x:f>F99/F81</x:f>
        <x:v>0.12011708334978138</x:v>
      </x:c>
      <x:c r="G100" s="32" t="n">
        <x:f>G99/G81</x:f>
        <x:v>0.12386787882091749</x:v>
      </x:c>
      <x:c r="H100" s="32" t="n">
        <x:f>H99/H81</x:f>
        <x:v>0.126583380345424</x:v>
      </x:c>
      <x:c r="I100" s="32" t="n">
        <x:f>I99/I81</x:f>
        <x:v>0.12849480113779005</x:v>
      </x:c>
      <x:c r="J100" s="32" t="n">
        <x:f>J99/J81</x:f>
        <x:v>0.1297989711418731</x:v>
      </x:c>
      <x:c r="K100" s="32" t="n">
        <x:f>K99/K81</x:f>
        <x:v>0.13067080283613997</x:v>
      </x:c>
      <x:c r="L100" s="32" t="n">
        <x:f>L99/L81</x:f>
        <x:v>0.1312720921011494</x:v>
      </x:c>
      <x:c r="M100" s="32" t="n">
        <x:f>M99/M81</x:f>
        <x:v>0.1317588640854371</x:v>
      </x:c>
      <x:c r="N100" s="32" t="n">
        <x:f>N99/N81</x:f>
        <x:v>0.13248988208546555</x:v>
      </x:c>
      <x:c r="O100" s="1"/>
      <x:c r="P100" s="1"/>
      <x:c r="Q100" s="1"/>
    </x:row>
    <x:row r="101">
      <x:c r="A101" s="17" t="str">
        <x:v>Discount factor — valuation date</x:v>
      </x:c>
      <x:c r="B101" s="17" t="str">
        <x:v>x</x:v>
      </x:c>
      <x:c r="C101" s="98" t="n">
        <x:f>1/(1+'Sources &amp; Assumptions'!$D$98)^((DATE(C$78,6,30)-'Sources &amp; Assumptions'!$K$97)/365)</x:f>
        <x:v>0.6684068386521467</x:v>
      </x:c>
      <x:c r="D101" s="98" t="n">
        <x:f>1/(1+'Sources &amp; Assumptions'!$D$98)^((DATE(D$78,6,30)-'Sources &amp; Assumptions'!$K$97)/365)</x:f>
        <x:v>0.602168323110042</x:v>
      </x:c>
      <x:c r="E101" s="98" t="n">
        <x:f>1/(1+'Sources &amp; Assumptions'!$D$98)^((DATE(E$78,6,30)-'Sources &amp; Assumptions'!$K$97)/365)</x:f>
        <x:v>0.5423388982420058</x:v>
      </x:c>
      <x:c r="F101" s="98" t="n">
        <x:f>1/(1+'Sources &amp; Assumptions'!$D$98)^((DATE(F$78,6,30)-'Sources &amp; Assumptions'!$K$97)/365)</x:f>
        <x:v>0.48859360201982494</x:v>
      </x:c>
      <x:c r="G101" s="98" t="n">
        <x:f>1/(1+'Sources &amp; Assumptions'!$D$98)^((DATE(G$78,6,30)-'Sources &amp; Assumptions'!$K$97)/365)</x:f>
        <x:v>0.44017441623407655</x:v>
      </x:c>
      <x:c r="H101" s="98" t="n">
        <x:f>1/(1+'Sources &amp; Assumptions'!$D$98)^((DATE(H$78,6,30)-'Sources &amp; Assumptions'!$K$97)/365)</x:f>
        <x:v>0.3965535281388076</x:v>
      </x:c>
      <x:c r="I101" s="98" t="n">
        <x:f>1/(1+'Sources &amp; Assumptions'!$D$98)^((DATE(I$78,6,30)-'Sources &amp; Assumptions'!$K$97)/365)</x:f>
        <x:v>0.3571532996521959</x:v>
      </x:c>
      <x:c r="J101" s="98" t="n">
        <x:f>1/(1+'Sources &amp; Assumptions'!$D$98)^((DATE(J$78,6,30)-'Sources &amp; Assumptions'!$K$97)/365)</x:f>
        <x:v>0.3217597294163927</x:v>
      </x:c>
      <x:c r="K101" s="98" t="n">
        <x:f>1/(1+'Sources &amp; Assumptions'!$D$98)^((DATE(K$78,6,30)-'Sources &amp; Assumptions'!$K$97)/365)</x:f>
        <x:v>0.2898736301048583</x:v>
      </x:c>
      <x:c r="L101" s="98" t="n">
        <x:f>1/(1+'Sources &amp; Assumptions'!$D$98)^((DATE(L$78,6,30)-'Sources &amp; Assumptions'!$K$97)/365)</x:f>
        <x:v>0.2611474145088813</x:v>
      </x:c>
      <x:c r="M101" s="98" t="n">
        <x:f>1/(1+'Sources &amp; Assumptions'!$D$98)^((DATE(M$78,6,30)-'Sources &amp; Assumptions'!$K$97)/365)</x:f>
        <x:v>0.23520068331062494</x:v>
      </x:c>
      <x:c r="N101" s="98" t="n">
        <x:f>1/(1+'Sources &amp; Assumptions'!$D$98)^((DATE(N$78,6,30)-'Sources &amp; Assumptions'!$K$97)/365)</x:f>
        <x:v>0.21189250748704946</x:v>
      </x:c>
      <x:c r="O101" s="1"/>
      <x:c r="P101" s="1"/>
      <x:c r="Q101" s="1"/>
    </x:row>
    <x:row r="102">
      <x:c r="A102" s="17" t="str">
        <x:v>PV of FCFF — valuation date</x:v>
      </x:c>
      <x:c r="B102" s="17" t="str">
        <x:v>$m</x:v>
      </x:c>
      <x:c r="C102" s="33" t="n">
        <x:f>IF(C$78='Sources &amp; Assumptions'!$D$101,0,C99*C101)</x:f>
        <x:v>253.39976476579736</x:v>
      </x:c>
      <x:c r="D102" s="33" t="n">
        <x:f>IF(D$78='Sources &amp; Assumptions'!$D$101,0,D99*D101)</x:f>
        <x:v>288.48606173770304</x:v>
      </x:c>
      <x:c r="E102" s="33" t="n">
        <x:f>IF(E$78='Sources &amp; Assumptions'!$D$101,0,E99*E101)</x:f>
        <x:v>312.8811873150665</x:v>
      </x:c>
      <x:c r="F102" s="33" t="n">
        <x:f>IF(F$78='Sources &amp; Assumptions'!$D$101,0,F99*F101)</x:f>
        <x:v>333.40602362767277</x:v>
      </x:c>
      <x:c r="G102" s="33" t="n">
        <x:f>IF(G$78='Sources &amp; Assumptions'!$D$101,0,G99*G101)</x:f>
        <x:v>346.91446461996856</x:v>
      </x:c>
      <x:c r="H102" s="33" t="n">
        <x:f>IF(H$78='Sources &amp; Assumptions'!$D$101,0,H99*H101)</x:f>
        <x:v>353.455095457473</x:v>
      </x:c>
      <x:c r="I102" s="33" t="n">
        <x:f>IF(I$78='Sources &amp; Assumptions'!$D$101,0,I99*I101)</x:f>
        <x:v>353.30399806873146</x:v>
      </x:c>
      <x:c r="J102" s="33" t="n">
        <x:f>IF(J$78='Sources &amp; Assumptions'!$D$101,0,J99*J101)</x:f>
        <x:v>347.24421734268367</x:v>
      </x:c>
      <x:c r="K102" s="33" t="n">
        <x:f>IF(K$78='Sources &amp; Assumptions'!$D$101,0,K99*K101)</x:f>
        <x:v>335.9294480310777</x:v>
      </x:c>
      <x:c r="L102" s="33" t="n">
        <x:f>IF(L$78='Sources &amp; Assumptions'!$D$101,0,L99*L101)</x:f>
        <x:v>320.2467807815945</x:v>
      </x:c>
      <x:c r="M102" s="33" t="n">
        <x:f>IF(M$78='Sources &amp; Assumptions'!$D$101,0,M99*M101)</x:f>
        <x:v>301.07756577825404</x:v>
      </x:c>
      <x:c r="N102" s="33" t="n">
        <x:f>IF(N$78='Sources &amp; Assumptions'!$D$101,0,N99*N101)</x:f>
        <x:v>0</x:v>
      </x:c>
      <x:c r="O102" s="1"/>
      <x:c r="P102" s="1"/>
      <x:c r="Q102" s="1"/>
    </x:row>
    <x:row r="103">
      <x:c r="A103" s="17" t="str">
        <x:v>Discount factor — target date</x:v>
      </x:c>
      <x:c r="B103" s="17" t="str">
        <x:v>x</x:v>
      </x:c>
      <x:c r="C103" s="98" t="n">
        <x:f>1/(1+'Sources &amp; Assumptions'!$D$98)^((DATE(C$78,6,30)-'Sources &amp; Assumptions'!$K$98)/365)</x:f>
        <x:v>0.7419315909038829</x:v>
      </x:c>
      <x:c r="D103" s="98" t="n">
        <x:f>1/(1+'Sources &amp; Assumptions'!$D$98)^((DATE(D$78,6,30)-'Sources &amp; Assumptions'!$K$98)/365)</x:f>
        <x:v>0.6684068386521467</x:v>
      </x:c>
      <x:c r="E103" s="98" t="n">
        <x:f>1/(1+'Sources &amp; Assumptions'!$D$98)^((DATE(E$78,6,30)-'Sources &amp; Assumptions'!$K$98)/365)</x:f>
        <x:v>0.6019961770486264</x:v>
      </x:c>
      <x:c r="F103" s="98" t="n">
        <x:f>1/(1+'Sources &amp; Assumptions'!$D$98)^((DATE(F$78,6,30)-'Sources &amp; Assumptions'!$K$98)/365)</x:f>
        <x:v>0.5423388982420058</x:v>
      </x:c>
      <x:c r="G103" s="98" t="n">
        <x:f>1/(1+'Sources &amp; Assumptions'!$D$98)^((DATE(G$78,6,30)-'Sources &amp; Assumptions'!$K$98)/365)</x:f>
        <x:v>0.48859360201982494</x:v>
      </x:c>
      <x:c r="H103" s="98" t="n">
        <x:f>1/(1+'Sources &amp; Assumptions'!$D$98)^((DATE(H$78,6,30)-'Sources &amp; Assumptions'!$K$98)/365)</x:f>
        <x:v>0.44017441623407655</x:v>
      </x:c>
      <x:c r="I103" s="98" t="n">
        <x:f>1/(1+'Sources &amp; Assumptions'!$D$98)^((DATE(I$78,6,30)-'Sources &amp; Assumptions'!$K$98)/365)</x:f>
        <x:v>0.3964401626139375</x:v>
      </x:c>
      <x:c r="J103" s="98" t="n">
        <x:f>1/(1+'Sources &amp; Assumptions'!$D$98)^((DATE(J$78,6,30)-'Sources &amp; Assumptions'!$K$98)/365)</x:f>
        <x:v>0.3571532996521959</x:v>
      </x:c>
      <x:c r="K103" s="98" t="n">
        <x:f>1/(1+'Sources &amp; Assumptions'!$D$98)^((DATE(K$78,6,30)-'Sources &amp; Assumptions'!$K$98)/365)</x:f>
        <x:v>0.3217597294163927</x:v>
      </x:c>
      <x:c r="L103" s="98" t="n">
        <x:f>1/(1+'Sources &amp; Assumptions'!$D$98)^((DATE(L$78,6,30)-'Sources &amp; Assumptions'!$K$98)/365)</x:f>
        <x:v>0.2898736301048583</x:v>
      </x:c>
      <x:c r="M103" s="98" t="n">
        <x:f>1/(1+'Sources &amp; Assumptions'!$D$98)^((DATE(M$78,6,30)-'Sources &amp; Assumptions'!$K$98)/365)</x:f>
        <x:v>0.26107275847479366</x:v>
      </x:c>
      <x:c r="N103" s="98" t="n">
        <x:f>1/(1+'Sources &amp; Assumptions'!$D$98)^((DATE(N$78,6,30)-'Sources &amp; Assumptions'!$K$98)/365)</x:f>
        <x:v>0.23520068331062494</x:v>
      </x:c>
      <x:c r="O103" s="1"/>
      <x:c r="P103" s="1"/>
      <x:c r="Q103" s="1"/>
    </x:row>
    <x:row r="104">
      <x:c r="A104" s="17" t="str">
        <x:v>PV of FCFF — target date</x:v>
      </x:c>
      <x:c r="B104" s="17" t="str">
        <x:v>$m</x:v>
      </x:c>
      <x:c r="C104" s="33" t="n">
        <x:f>IF(C$78='Sources &amp; Assumptions'!$D$101,0,C99*C103)</x:f>
        <x:v>281.27373889003513</x:v>
      </x:c>
      <x:c r="D104" s="33" t="n">
        <x:f>IF(D$78='Sources &amp; Assumptions'!$D$101,0,D99*D103)</x:f>
        <x:v>320.2195285288504</x:v>
      </x:c>
      <x:c r="E104" s="33" t="n">
        <x:f>IF(E$78='Sources &amp; Assumptions'!$D$101,0,E99*E103)</x:f>
        <x:v>347.2981179197238</x:v>
      </x:c>
      <x:c r="F104" s="33" t="n">
        <x:f>IF(F$78='Sources &amp; Assumptions'!$D$101,0,F99*F103)</x:f>
        <x:v>370.08068622671686</x:v>
      </x:c>
      <x:c r="G104" s="33" t="n">
        <x:f>IF(G$78='Sources &amp; Assumptions'!$D$101,0,G99*G103)</x:f>
        <x:v>385.07505572816507</x:v>
      </x:c>
      <x:c r="H104" s="33" t="n">
        <x:f>IF(H$78='Sources &amp; Assumptions'!$D$101,0,H99*H103)</x:f>
        <x:v>392.33515595779517</x:v>
      </x:c>
      <x:c r="I104" s="33" t="n">
        <x:f>IF(I$78='Sources &amp; Assumptions'!$D$101,0,I99*I103)</x:f>
        <x:v>392.167437856292</x:v>
      </x:c>
      <x:c r="J104" s="33" t="n">
        <x:f>IF(J$78='Sources &amp; Assumptions'!$D$101,0,J99*J103)</x:f>
        <x:v>385.4410812503789</x:v>
      </x:c>
      <x:c r="K104" s="33" t="n">
        <x:f>IF(K$78='Sources &amp; Assumptions'!$D$101,0,K99*K103)</x:f>
        <x:v>372.8816873144962</x:v>
      </x:c>
      <x:c r="L104" s="33" t="n">
        <x:f>IF(L$78='Sources &amp; Assumptions'!$D$101,0,L99*L103)</x:f>
        <x:v>355.47392666756997</x:v>
      </x:c>
      <x:c r="M104" s="33" t="n">
        <x:f>IF(M$78='Sources &amp; Assumptions'!$D$101,0,M99*M103)</x:f>
        <x:v>334.19609801386196</x:v>
      </x:c>
      <x:c r="N104" s="33" t="n">
        <x:f>IF(N$78='Sources &amp; Assumptions'!$D$101,0,N99*N103)</x:f>
        <x:v>0</x:v>
      </x:c>
      <x:c r="O104" s="1"/>
      <x:c r="P104" s="1"/>
      <x:c r="Q104" s="1"/>
    </x:row>
    <x:row r="105">
      <x:c r="A105" s="17" t="str">
        <x:v>Terminal value</x:v>
      </x:c>
      <x:c r="B105" s="17" t="str">
        <x:v>$m</x:v>
      </x:c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 t="n">
        <x:f>N99/('Sources &amp; Assumptions'!D$98-'Sources &amp; Assumptions'!D$99)</x:f>
        <x:v>16572.572446481165</x:v>
      </x:c>
      <x:c r="O105" s="1"/>
      <x:c r="P105" s="1"/>
      <x:c r="Q105" s="1"/>
    </x:row>
    <x:row r="106">
      <x:c r="A106" s="17" t="str">
        <x:v>PV of terminal value — valuation date</x:v>
      </x:c>
      <x:c r="B106" s="17" t="str">
        <x:v>$m</x:v>
      </x:c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 t="n">
        <x:f>N105/(1+'Sources &amp; Assumptions'!D$98)^((DATE('Sources &amp; Assumptions'!D$100,12,31)-'Sources &amp; Assumptions'!$K$97)/365)</x:f>
        <x:v>3698.117936572264</x:v>
      </x:c>
      <x:c r="O106" s="1"/>
      <x:c r="P106" s="1"/>
      <x:c r="Q106" s="1"/>
    </x:row>
    <x:row r="107">
      <x:c r="A107" s="17" t="str">
        <x:v>PV of terminal value — target date</x:v>
      </x:c>
      <x:c r="B107" s="17" t="str">
        <x:v>$m</x:v>
      </x:c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 t="n">
        <x:f>N105/(1+'Sources &amp; Assumptions'!D$98)^((DATE('Sources &amp; Assumptions'!D$100,12,31)-'Sources &amp; Assumptions'!$K$98)/365)</x:f>
        <x:v>4104.910909595213</x:v>
      </x:c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20" customHeight="1">
      <x:c r="A113" s="11" t="str">
        <x:v>Bear scenario operating transition and FCFF</x:v>
      </x:c>
      <x:c r="B113" s="11" t="str">
        <x:v>Bear scenario operating transition and FCFF</x:v>
      </x:c>
      <x:c r="C113" s="11" t="str">
        <x:v>Bear scenario operating transition and FCFF</x:v>
      </x:c>
      <x:c r="D113" s="11" t="str">
        <x:v>Bear scenario operating transition and FCFF</x:v>
      </x:c>
      <x:c r="E113" s="11" t="str">
        <x:v>Bear scenario operating transition and FCFF</x:v>
      </x:c>
      <x:c r="F113" s="11" t="str">
        <x:v>Bear scenario operating transition and FCFF</x:v>
      </x:c>
      <x:c r="G113" s="11" t="str">
        <x:v>Bear scenario operating transition and FCFF</x:v>
      </x:c>
      <x:c r="H113" s="11" t="str">
        <x:v>Bear scenario operating transition and FCFF</x:v>
      </x:c>
      <x:c r="I113" s="11" t="str">
        <x:v>Bear scenario operating transition and FCFF</x:v>
      </x:c>
      <x:c r="J113" s="11" t="str">
        <x:v>Bear scenario operating transition and FCFF</x:v>
      </x:c>
      <x:c r="K113" s="11" t="str">
        <x:v>Bear scenario operating transition and FCFF</x:v>
      </x:c>
      <x:c r="L113" s="11" t="str">
        <x:v>Bear scenario operating transition and FCFF</x:v>
      </x:c>
      <x:c r="M113" s="11" t="str">
        <x:v>Bear scenario operating transition and FCFF</x:v>
      </x:c>
      <x:c r="N113" s="11" t="str">
        <x:v>Bear scenario operating transition and FCFF</x:v>
      </x:c>
      <x:c r="O113" s="11" t="str">
        <x:v>Bear scenario operating transition and FCFF</x:v>
      </x:c>
      <x:c r="P113" s="11" t="str">
        <x:v>Bear scenario operating transition and FCFF</x:v>
      </x:c>
      <x:c r="Q113" s="11" t="str">
        <x:v>Bear scenario operating transition and FCFF</x:v>
      </x:c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6" t="str">
        <x:v>Line item</x:v>
      </x:c>
      <x:c r="B115" s="16" t="str">
        <x:v>Unit</x:v>
      </x:c>
      <x:c r="C115" s="16" t="n">
        <x:v>2030</x:v>
      </x:c>
      <x:c r="D115" s="16" t="n">
        <x:f>C115+1</x:f>
        <x:v>2031</x:v>
      </x:c>
      <x:c r="E115" s="16" t="n">
        <x:f>D115+1</x:f>
        <x:v>2032</x:v>
      </x:c>
      <x:c r="F115" s="16" t="n">
        <x:f>E115+1</x:f>
        <x:v>2033</x:v>
      </x:c>
      <x:c r="G115" s="16" t="n">
        <x:f>F115+1</x:f>
        <x:v>2034</x:v>
      </x:c>
      <x:c r="H115" s="16" t="n">
        <x:f>G115+1</x:f>
        <x:v>2035</x:v>
      </x:c>
      <x:c r="I115" s="16" t="n">
        <x:f>H115+1</x:f>
        <x:v>2036</x:v>
      </x:c>
      <x:c r="J115" s="16" t="n">
        <x:f>I115+1</x:f>
        <x:v>2037</x:v>
      </x:c>
      <x:c r="K115" s="1"/>
      <x:c r="L115" s="1"/>
      <x:c r="M115" s="1"/>
      <x:c r="N115" s="1"/>
      <x:c r="O115" s="1"/>
      <x:c r="P115" s="1"/>
      <x:c r="Q115" s="1"/>
    </x:row>
    <x:row r="116">
      <x:c r="A116" s="17" t="str">
        <x:v>Revenue growth</x:v>
      </x:c>
      <x:c r="B116" s="17" t="str">
        <x:v>%</x:v>
      </x:c>
      <x:c r="C116" s="32" t="n">
        <x:f>'Sources &amp; Assumptions'!$E$102</x:f>
        <x:v>0.1299999999999999</x:v>
      </x:c>
      <x:c r="D116" s="32" t="n">
        <x:f>'Sources &amp; Assumptions'!$E$103</x:f>
        <x:v>0.11</x:v>
      </x:c>
      <x:c r="E116" s="32" t="n">
        <x:f>IF(E$115&lt;='Sources &amp; Assumptions'!$E$100,$D116-($D116-'Sources &amp; Assumptions'!$E$104)*(E$115-$D$115)/('Sources &amp; Assumptions'!$E$100-$D$115),'Sources &amp; Assumptions'!$E$99)</x:f>
        <x:v>0.095</x:v>
      </x:c>
      <x:c r="F116" s="32" t="n">
        <x:f>IF(F$115&lt;='Sources &amp; Assumptions'!$E$100,$D116-($D116-'Sources &amp; Assumptions'!$E$104)*(F$115-$D$115)/('Sources &amp; Assumptions'!$E$100-$D$115),'Sources &amp; Assumptions'!$E$99)</x:f>
        <x:v>0.08</x:v>
      </x:c>
      <x:c r="G116" s="32" t="n">
        <x:f>IF(G$115&lt;='Sources &amp; Assumptions'!$E$100,$D116-($D116-'Sources &amp; Assumptions'!$E$104)*(G$115-$D$115)/('Sources &amp; Assumptions'!$E$100-$D$115),'Sources &amp; Assumptions'!$E$99)</x:f>
        <x:v>0.065</x:v>
      </x:c>
      <x:c r="H116" s="32" t="n">
        <x:f>IF(H$115&lt;='Sources &amp; Assumptions'!$E$100,$D116-($D116-'Sources &amp; Assumptions'!$E$104)*(H$115-$D$115)/('Sources &amp; Assumptions'!$E$100-$D$115),'Sources &amp; Assumptions'!$E$99)</x:f>
        <x:v>0.05</x:v>
      </x:c>
      <x:c r="I116" s="32" t="n">
        <x:f>IF(I$115&lt;='Sources &amp; Assumptions'!$E$100,$D116-($D116-'Sources &amp; Assumptions'!$E$104)*(I$115-$D$115)/('Sources &amp; Assumptions'!$E$100-$D$115),'Sources &amp; Assumptions'!$E$99)</x:f>
        <x:v>0.035</x:v>
      </x:c>
      <x:c r="J116" s="32" t="n">
        <x:f>IF(J$115&lt;='Sources &amp; Assumptions'!$E$100,$D116-($D116-'Sources &amp; Assumptions'!$E$104)*(J$115-$D$115)/('Sources &amp; Assumptions'!$E$100-$D$115),'Sources &amp; Assumptions'!$E$99)</x:f>
        <x:v>0.025</x:v>
      </x:c>
      <x:c r="K116" s="1"/>
      <x:c r="L116" s="1"/>
      <x:c r="M116" s="1"/>
      <x:c r="N116" s="1"/>
      <x:c r="O116" s="1"/>
      <x:c r="P116" s="1"/>
      <x:c r="Q116" s="1"/>
    </x:row>
    <x:row r="117">
      <x:c r="A117" s="17" t="str">
        <x:v>Maturity progress</x:v>
      </x:c>
      <x:c r="B117" s="17" t="str">
        <x:v>%</x:v>
      </x:c>
      <x:c r="C117" s="32" t="n">
        <x:f>0</x:f>
        <x:v>0</x:v>
      </x:c>
      <x:c r="D117" s="32" t="n">
        <x:f>MIN(1,($C116-D116)/($C116-'Sources &amp; Assumptions'!$E$104))</x:f>
        <x:v>0.2105263157894728</x:v>
      </x:c>
      <x:c r="E117" s="32" t="n">
        <x:f>MIN(1,($C116-E116)/($C116-'Sources &amp; Assumptions'!$E$104))</x:f>
        <x:v>0.36842105263157826</x:v>
      </x:c>
      <x:c r="F117" s="32" t="n">
        <x:f>MIN(1,($C116-F116)/($C116-'Sources &amp; Assumptions'!$E$104))</x:f>
        <x:v>0.5263157894736836</x:v>
      </x:c>
      <x:c r="G117" s="32" t="n">
        <x:f>MIN(1,($C116-G116)/($C116-'Sources &amp; Assumptions'!$E$104))</x:f>
        <x:v>0.6842105263157892</x:v>
      </x:c>
      <x:c r="H117" s="32" t="n">
        <x:f>MIN(1,($C116-H116)/($C116-'Sources &amp; Assumptions'!$E$104))</x:f>
        <x:v>0.8421052631578946</x:v>
      </x:c>
      <x:c r="I117" s="32" t="n">
        <x:f>MIN(1,($C116-I116)/($C116-'Sources &amp; Assumptions'!$E$104))</x:f>
        <x:v>1</x:v>
      </x:c>
      <x:c r="J117" s="32" t="n">
        <x:f>MIN(1,($C116-J116)/($C116-'Sources &amp; Assumptions'!$E$104))</x:f>
        <x:v>1</x:v>
      </x:c>
      <x:c r="K117" s="1"/>
      <x:c r="L117" s="1"/>
      <x:c r="M117" s="1"/>
      <x:c r="N117" s="1"/>
      <x:c r="O117" s="1"/>
      <x:c r="P117" s="1"/>
      <x:c r="Q117" s="1"/>
    </x:row>
    <x:row r="118">
      <x:c r="A118" s="17" t="str">
        <x:v>Revenue</x:v>
      </x:c>
      <x:c r="B118" s="17" t="str">
        <x:v>$m</x:v>
      </x:c>
      <x:c r="C118" s="33" t="n">
        <x:f>'Sources &amp; Assumptions'!G154</x:f>
        <x:v>3207.07914594</x:v>
      </x:c>
      <x:c r="D118" s="33" t="n">
        <x:f>C118*(1+D116)</x:f>
        <x:v>3559.8578519934003</x:v>
      </x:c>
      <x:c r="E118" s="33" t="n">
        <x:f>D118*(1+E116)</x:f>
        <x:v>3898.0443479327732</x:v>
      </x:c>
      <x:c r="F118" s="33" t="n">
        <x:f>E118*(1+F116)</x:f>
        <x:v>4209.887895767395</x:v>
      </x:c>
      <x:c r="G118" s="33" t="n">
        <x:f>F118*(1+G116)</x:f>
        <x:v>4483.530608992275</x:v>
      </x:c>
      <x:c r="H118" s="33" t="n">
        <x:f>G118*(1+H116)</x:f>
        <x:v>4707.707139441889</x:v>
      </x:c>
      <x:c r="I118" s="33" t="n">
        <x:f>H118*(1+I116)</x:f>
        <x:v>4872.4768893223545</x:v>
      </x:c>
      <x:c r="J118" s="33" t="n">
        <x:f>I118*(1+J116)</x:f>
        <x:v>4994.288811555413</x:v>
      </x:c>
      <x:c r="K118" s="1"/>
      <x:c r="L118" s="1"/>
      <x:c r="M118" s="1"/>
      <x:c r="N118" s="1"/>
      <x:c r="O118" s="1"/>
      <x:c r="P118" s="1"/>
      <x:c r="Q118" s="1"/>
    </x:row>
    <x:row r="119">
      <x:c r="A119" s="17" t="str">
        <x:v>Increase in revenue</x:v>
      </x:c>
      <x:c r="B119" s="17" t="str">
        <x:v>$m</x:v>
      </x:c>
      <x:c r="C119" s="33"/>
      <x:c r="D119" s="33" t="n">
        <x:f>D118-C118</x:f>
        <x:v>352.77870605340013</x:v>
      </x:c>
      <x:c r="E119" s="33" t="n">
        <x:f>E118-D118</x:f>
        <x:v>338.1864959393729</x:v>
      </x:c>
      <x:c r="F119" s="33" t="n">
        <x:f>F118-E118</x:f>
        <x:v>311.84354783462186</x:v>
      </x:c>
      <x:c r="G119" s="33" t="n">
        <x:f>G118-F118</x:f>
        <x:v>273.64271322488</x:v>
      </x:c>
      <x:c r="H119" s="33" t="n">
        <x:f>H118-G118</x:f>
        <x:v>224.1765304496139</x:v>
      </x:c>
      <x:c r="I119" s="33" t="n">
        <x:f>I118-H118</x:f>
        <x:v>164.7697498804655</x:v>
      </x:c>
      <x:c r="J119" s="33" t="n">
        <x:f>J118-I118</x:f>
        <x:v>121.8119222330588</x:v>
      </x:c>
      <x:c r="K119" s="1"/>
      <x:c r="L119" s="1"/>
      <x:c r="M119" s="1"/>
      <x:c r="N119" s="1"/>
      <x:c r="O119" s="1"/>
      <x:c r="P119" s="1"/>
      <x:c r="Q119" s="1"/>
    </x:row>
    <x:row r="120">
      <x:c r="A120" s="17" t="str">
        <x:v>Gross profit</x:v>
      </x:c>
      <x:c r="B120" s="17" t="str">
        <x:v>$m</x:v>
      </x:c>
      <x:c r="C120" s="33" t="n">
        <x:f>'Sources &amp; Assumptions'!G155</x:f>
        <x:v>1797.6684973482002</x:v>
      </x:c>
      <x:c r="D120" s="33" t="n">
        <x:f>IF(D$115&gt;'Sources &amp; Assumptions'!$E$100,D118*C120/C118,C120+D121*D119)</x:f>
        <x:v>1984.6412115565022</x:v>
      </x:c>
      <x:c r="E120" s="33" t="n">
        <x:f>IF(E$115&gt;'Sources &amp; Assumptions'!$E$100,E118*D120/D118,D120+E121*E119)</x:f>
        <x:v>2163.8800544043697</x:v>
      </x:c>
      <x:c r="F120" s="33" t="n">
        <x:f>IF(F$115&gt;'Sources &amp; Assumptions'!$E$100,F118*E120/E118,E120+F121*F119)</x:f>
        <x:v>2329.157134756719</x:v>
      </x:c>
      <x:c r="G120" s="33" t="n">
        <x:f>IF(G$115&gt;'Sources &amp; Assumptions'!$E$100,G118*F120/F118,F120+G121*G119)</x:f>
        <x:v>2474.1877727659057</x:v>
      </x:c>
      <x:c r="H120" s="33" t="n">
        <x:f>IF(H$115&gt;'Sources &amp; Assumptions'!$E$100,H118*G120/G118,G120+H121*H119)</x:f>
        <x:v>2593.001333904201</x:v>
      </x:c>
      <x:c r="I120" s="33" t="n">
        <x:f>IF(I$115&gt;'Sources &amp; Assumptions'!$E$100,I118*H120/H118,H120+I121*I119)</x:f>
        <x:v>2680.329301340848</x:v>
      </x:c>
      <x:c r="J120" s="33" t="n">
        <x:f>IF(J$115&gt;'Sources &amp; Assumptions'!$E$100,J118*I120/I118,I120+J121*J119)</x:f>
        <x:v>2747.337533874369</x:v>
      </x:c>
      <x:c r="K120" s="1"/>
      <x:c r="L120" s="1"/>
      <x:c r="M120" s="1"/>
      <x:c r="N120" s="1"/>
      <x:c r="O120" s="1"/>
      <x:c r="P120" s="1"/>
      <x:c r="Q120" s="1"/>
    </x:row>
    <x:row r="121">
      <x:c r="A121" s="17" t="str">
        <x:v>Incremental gross margin</x:v>
      </x:c>
      <x:c r="B121" s="17" t="str">
        <x:v>%</x:v>
      </x:c>
      <x:c r="C121" s="32" t="n">
        <x:f>'Sources &amp; Assumptions'!$E$105</x:f>
        <x:v>0.53</x:v>
      </x:c>
      <x:c r="D121" s="32" t="n">
        <x:f>'Sources &amp; Assumptions'!$E$105</x:f>
        <x:v>0.53</x:v>
      </x:c>
      <x:c r="E121" s="32" t="n">
        <x:f>'Sources &amp; Assumptions'!$E$105</x:f>
        <x:v>0.53</x:v>
      </x:c>
      <x:c r="F121" s="32" t="n">
        <x:f>'Sources &amp; Assumptions'!$E$105</x:f>
        <x:v>0.53</x:v>
      </x:c>
      <x:c r="G121" s="32" t="n">
        <x:f>'Sources &amp; Assumptions'!$E$105</x:f>
        <x:v>0.53</x:v>
      </x:c>
      <x:c r="H121" s="32" t="n">
        <x:f>'Sources &amp; Assumptions'!$E$105</x:f>
        <x:v>0.53</x:v>
      </x:c>
      <x:c r="I121" s="32" t="n">
        <x:f>'Sources &amp; Assumptions'!$E$105</x:f>
        <x:v>0.53</x:v>
      </x:c>
      <x:c r="J121" s="32" t="n">
        <x:f>'Sources &amp; Assumptions'!$E$105</x:f>
        <x:v>0.53</x:v>
      </x:c>
      <x:c r="K121" s="1"/>
      <x:c r="L121" s="1"/>
      <x:c r="M121" s="1"/>
      <x:c r="N121" s="1"/>
      <x:c r="O121" s="1"/>
      <x:c r="P121" s="1"/>
      <x:c r="Q121" s="1"/>
    </x:row>
    <x:row r="122">
      <x:c r="A122" s="17" t="str">
        <x:v>S&amp;M</x:v>
      </x:c>
      <x:c r="B122" s="17" t="str">
        <x:v>$m</x:v>
      </x:c>
      <x:c r="C122" s="33" t="n">
        <x:f>'Sources &amp; Assumptions'!G156</x:f>
        <x:v>679.7941832700999</x:v>
      </x:c>
      <x:c r="D122" s="33" t="n">
        <x:f>IF(D$115&gt;'Sources &amp; Assumptions'!$E$100,D118*C122/C118,C122+D123*D119)</x:f>
        <x:v>741.5867517476921</x:v>
      </x:c>
      <x:c r="E122" s="33" t="n">
        <x:f>IF(E$115&gt;'Sources &amp; Assumptions'!$E$100,E118*D122/D118,D122+E123*E119)</x:f>
        <x:v>803.4002283791372</x:v>
      </x:c>
      <x:c r="F122" s="33" t="n">
        <x:f>IF(F$115&gt;'Sources &amp; Assumptions'!$E$100,F118*E122/E118,E122+F123*F119)</x:f>
        <x:v>862.7749091193218</x:v>
      </x:c>
      <x:c r="G122" s="33" t="n">
        <x:f>IF(G$115&gt;'Sources &amp; Assumptions'!$E$100,G118*F122/F118,F122+G123*G119)</x:f>
        <x:v>916.9612618690558</x:v>
      </x:c>
      <x:c r="H122" s="33" t="n">
        <x:f>IF(H$115&gt;'Sources &amp; Assumptions'!$E$100,H118*G122/G118,G122+H123*H119)</x:f>
        <x:v>963.0605431419044</x:v>
      </x:c>
      <x:c r="I122" s="33" t="n">
        <x:f>IF(I$115&gt;'Sources &amp; Assumptions'!$E$100,I118*H122/H118,H122+I123*I119)</x:f>
        <x:v>998.1990079409355</x:v>
      </x:c>
      <x:c r="J122" s="33" t="n">
        <x:f>IF(J$115&gt;'Sources &amp; Assumptions'!$E$100,J118*I122/I118,I122+J123*J119)</x:f>
        <x:v>1023.1539831394589</x:v>
      </x:c>
      <x:c r="K122" s="1"/>
      <x:c r="L122" s="1"/>
      <x:c r="M122" s="1"/>
      <x:c r="N122" s="1"/>
      <x:c r="O122" s="1"/>
      <x:c r="P122" s="1"/>
      <x:c r="Q122" s="1"/>
    </x:row>
    <x:row r="123">
      <x:c r="A123" s="17" t="str">
        <x:v>Incremental S&amp;M cost ratio</x:v>
      </x:c>
      <x:c r="B123" s="17" t="str">
        <x:v>%</x:v>
      </x:c>
      <x:c r="C123" s="32" t="n">
        <x:f>'Sources &amp; Assumptions'!$E$106</x:f>
        <x:v>0.165</x:v>
      </x:c>
      <x:c r="D123" s="32" t="n">
        <x:f>'Sources &amp; Assumptions'!$E$106+('Sources &amp; Assumptions'!$E$107-'Sources &amp; Assumptions'!$E$106)*D117</x:f>
        <x:v>0.17515957572631574</x:v>
      </x:c>
      <x:c r="E123" s="32" t="n">
        <x:f>'Sources &amp; Assumptions'!$E$106+('Sources &amp; Assumptions'!$E$107-'Sources &amp; Assumptions'!$E$106)*E117</x:f>
        <x:v>0.1827792575210526</x:v>
      </x:c>
      <x:c r="F123" s="32" t="n">
        <x:f>'Sources &amp; Assumptions'!$E$106+('Sources &amp; Assumptions'!$E$107-'Sources &amp; Assumptions'!$E$106)*F117</x:f>
        <x:v>0.19039893931578944</x:v>
      </x:c>
      <x:c r="G123" s="32" t="n">
        <x:f>'Sources &amp; Assumptions'!$E$106+('Sources &amp; Assumptions'!$E$107-'Sources &amp; Assumptions'!$E$106)*G117</x:f>
        <x:v>0.1980186211105263</x:v>
      </x:c>
      <x:c r="H123" s="32" t="n">
        <x:f>'Sources &amp; Assumptions'!$E$106+('Sources &amp; Assumptions'!$E$107-'Sources &amp; Assumptions'!$E$106)*H117</x:f>
        <x:v>0.20563830290526314</x:v>
      </x:c>
      <x:c r="I123" s="32" t="n">
        <x:f>'Sources &amp; Assumptions'!$E$106+('Sources &amp; Assumptions'!$E$107-'Sources &amp; Assumptions'!$E$106)*I117</x:f>
        <x:v>0.2132579847</x:v>
      </x:c>
      <x:c r="J123" s="32" t="n">
        <x:f>'Sources &amp; Assumptions'!$E$106+('Sources &amp; Assumptions'!$E$107-'Sources &amp; Assumptions'!$E$106)*J117</x:f>
        <x:v>0.2132579847</x:v>
      </x:c>
      <x:c r="K123" s="1"/>
      <x:c r="L123" s="1"/>
      <x:c r="M123" s="1"/>
      <x:c r="N123" s="1"/>
      <x:c r="O123" s="1"/>
      <x:c r="P123" s="1"/>
      <x:c r="Q123" s="1"/>
    </x:row>
    <x:row r="124">
      <x:c r="A124" s="17" t="str">
        <x:v>R&amp;D</x:v>
      </x:c>
      <x:c r="B124" s="17" t="str">
        <x:v>$m</x:v>
      </x:c>
      <x:c r="C124" s="33" t="n">
        <x:f>'Sources &amp; Assumptions'!G157</x:f>
        <x:v>320.3164469378482</x:v>
      </x:c>
      <x:c r="D124" s="33" t="n">
        <x:f>IF(D$115&gt;'Sources &amp; Assumptions'!$E$100,D118*C124/C118,C124*(1+D116*D125))</x:f>
        <x:v>358.3329515612612</x:v>
      </x:c>
      <x:c r="E124" s="33" t="n">
        <x:f>IF(E$115&gt;'Sources &amp; Assumptions'!$E$100,E118*D124/D118,D124*(1+E116*E125))</x:f>
        <x:v>394.5245796689486</x:v>
      </x:c>
      <x:c r="F124" s="33" t="n">
        <x:f>IF(F$115&gt;'Sources &amp; Assumptions'!$E$100,F118*E124/E118,E124*(1+F116*F125))</x:f>
        <x:v>427.5815865548942</x:v>
      </x:c>
      <x:c r="G124" s="33" t="n">
        <x:f>IF(G$115&gt;'Sources &amp; Assumptions'!$E$100,G118*F124/F118,F124*(1+G116*G125))</x:f>
        <x:v>456.25205714810136</x:v>
      </x:c>
      <x:c r="H124" s="33" t="n">
        <x:f>IF(H$115&gt;'Sources &amp; Assumptions'!$E$100,H118*G124/G118,G124*(1+H116*H125))</x:f>
        <x:v>479.42485899799175</x:v>
      </x:c>
      <x:c r="I124" s="33" t="n">
        <x:f>IF(I$115&gt;'Sources &amp; Assumptions'!$E$100,I118*H124/H118,H124*(1+I116*I125))</x:f>
        <x:v>496.20472906292144</x:v>
      </x:c>
      <x:c r="J124" s="33" t="n">
        <x:f>IF(J$115&gt;'Sources &amp; Assumptions'!$E$100,J118*I124/I118,I124*(1+J116*J125))</x:f>
        <x:v>508.6098472894945</x:v>
      </x:c>
      <x:c r="K124" s="1"/>
      <x:c r="L124" s="1"/>
      <x:c r="M124" s="1"/>
      <x:c r="N124" s="1"/>
      <x:c r="O124" s="1"/>
      <x:c r="P124" s="1"/>
      <x:c r="Q124" s="1"/>
    </x:row>
    <x:row r="125">
      <x:c r="A125" s="17" t="str">
        <x:v>R&amp;D growth elasticity</x:v>
      </x:c>
      <x:c r="B125" s="17" t="str">
        <x:v>x</x:v>
      </x:c>
      <x:c r="C125" s="96" t="n">
        <x:f>'Sources &amp; Assumptions'!$E$108</x:f>
        <x:v>1.1</x:v>
      </x:c>
      <x:c r="D125" s="96" t="n">
        <x:f>'Sources &amp; Assumptions'!$E$108+('Sources &amp; Assumptions'!$E$109-'Sources &amp; Assumptions'!$E$108)*D117</x:f>
        <x:v>1.0789473684210529</x:v>
      </x:c>
      <x:c r="E125" s="96" t="n">
        <x:f>'Sources &amp; Assumptions'!$E$108+('Sources &amp; Assumptions'!$E$109-'Sources &amp; Assumptions'!$E$108)*E117</x:f>
        <x:v>1.0631578947368423</x:v>
      </x:c>
      <x:c r="F125" s="96" t="n">
        <x:f>'Sources &amp; Assumptions'!$E$108+('Sources &amp; Assumptions'!$E$109-'Sources &amp; Assumptions'!$E$108)*F117</x:f>
        <x:v>1.0473684210526317</x:v>
      </x:c>
      <x:c r="G125" s="96" t="n">
        <x:f>'Sources &amp; Assumptions'!$E$108+('Sources &amp; Assumptions'!$E$109-'Sources &amp; Assumptions'!$E$108)*G117</x:f>
        <x:v>1.0315789473684212</x:v>
      </x:c>
      <x:c r="H125" s="96" t="n">
        <x:f>'Sources &amp; Assumptions'!$E$108+('Sources &amp; Assumptions'!$E$109-'Sources &amp; Assumptions'!$E$108)*H117</x:f>
        <x:v>1.0157894736842106</x:v>
      </x:c>
      <x:c r="I125" s="96" t="n">
        <x:f>'Sources &amp; Assumptions'!$E$108+('Sources &amp; Assumptions'!$E$109-'Sources &amp; Assumptions'!$E$108)*I117</x:f>
        <x:v>1</x:v>
      </x:c>
      <x:c r="J125" s="96" t="n">
        <x:f>'Sources &amp; Assumptions'!$E$108+('Sources &amp; Assumptions'!$E$109-'Sources &amp; Assumptions'!$E$108)*J117</x:f>
        <x:v>1</x:v>
      </x:c>
      <x:c r="K125" s="1"/>
      <x:c r="L125" s="1"/>
      <x:c r="M125" s="1"/>
      <x:c r="N125" s="1"/>
      <x:c r="O125" s="1"/>
      <x:c r="P125" s="1"/>
      <x:c r="Q125" s="1"/>
    </x:row>
    <x:row r="126">
      <x:c r="A126" s="17" t="str">
        <x:v>G&amp;A</x:v>
      </x:c>
      <x:c r="B126" s="17" t="str">
        <x:v>$m</x:v>
      </x:c>
      <x:c r="C126" s="33" t="n">
        <x:f>'Sources &amp; Assumptions'!G158</x:f>
        <x:v>487.8464119603202</x:v>
      </x:c>
      <x:c r="D126" s="33" t="n">
        <x:f>IF(D$115&gt;'Sources &amp; Assumptions'!$E$100,D118*C126/C118,C126*(1+D116*D127))</x:f>
        <x:v>541.5095172759554</x:v>
      </x:c>
      <x:c r="E126" s="33" t="n">
        <x:f>IF(E$115&gt;'Sources &amp; Assumptions'!$E$100,E118*D126/D118,D126*(1+E116*E127))</x:f>
        <x:v>592.9529214171712</x:v>
      </x:c>
      <x:c r="F126" s="33" t="n">
        <x:f>IF(F$115&gt;'Sources &amp; Assumptions'!$E$100,F118*E126/E118,E126*(1+F116*F127))</x:f>
        <x:v>640.389155130545</x:v>
      </x:c>
      <x:c r="G126" s="33" t="n">
        <x:f>IF(G$115&gt;'Sources &amp; Assumptions'!$E$100,G118*F126/F118,F126*(1+G116*G127))</x:f>
        <x:v>682.0144502140304</x:v>
      </x:c>
      <x:c r="H126" s="33" t="n">
        <x:f>IF(H$115&gt;'Sources &amp; Assumptions'!$E$100,H118*G126/G118,G126*(1+H116*H127))</x:f>
        <x:v>716.1151727247319</x:v>
      </x:c>
      <x:c r="I126" s="33" t="n">
        <x:f>IF(I$115&gt;'Sources &amp; Assumptions'!$E$100,I118*H126/H118,H126*(1+I116*I127))</x:f>
        <x:v>741.1792037700975</x:v>
      </x:c>
      <x:c r="J126" s="33" t="n">
        <x:f>IF(J$115&gt;'Sources &amp; Assumptions'!$E$100,J118*I126/I118,I126*(1+J116*J127))</x:f>
        <x:v>759.70868386435</x:v>
      </x:c>
      <x:c r="K126" s="1"/>
      <x:c r="L126" s="1"/>
      <x:c r="M126" s="1"/>
      <x:c r="N126" s="1"/>
      <x:c r="O126" s="1"/>
      <x:c r="P126" s="1"/>
      <x:c r="Q126" s="1"/>
    </x:row>
    <x:row r="127">
      <x:c r="A127" s="17" t="str">
        <x:v>G&amp;A growth elasticity</x:v>
      </x:c>
      <x:c r="B127" s="17" t="str">
        <x:v>x</x:v>
      </x:c>
      <x:c r="C127" s="96" t="n">
        <x:f>'Sources &amp; Assumptions'!$E$110</x:f>
        <x:v>1</x:v>
      </x:c>
      <x:c r="D127" s="96" t="n">
        <x:f>'Sources &amp; Assumptions'!$E$110+('Sources &amp; Assumptions'!$E$111-'Sources &amp; Assumptions'!$E$110)*D117</x:f>
        <x:v>1</x:v>
      </x:c>
      <x:c r="E127" s="96" t="n">
        <x:f>'Sources &amp; Assumptions'!$E$110+('Sources &amp; Assumptions'!$E$111-'Sources &amp; Assumptions'!$E$110)*E117</x:f>
        <x:v>1</x:v>
      </x:c>
      <x:c r="F127" s="96" t="n">
        <x:f>'Sources &amp; Assumptions'!$E$110+('Sources &amp; Assumptions'!$E$111-'Sources &amp; Assumptions'!$E$110)*F117</x:f>
        <x:v>1</x:v>
      </x:c>
      <x:c r="G127" s="96" t="n">
        <x:f>'Sources &amp; Assumptions'!$E$110+('Sources &amp; Assumptions'!$E$111-'Sources &amp; Assumptions'!$E$110)*G117</x:f>
        <x:v>1</x:v>
      </x:c>
      <x:c r="H127" s="96" t="n">
        <x:f>'Sources &amp; Assumptions'!$E$110+('Sources &amp; Assumptions'!$E$111-'Sources &amp; Assumptions'!$E$110)*H117</x:f>
        <x:v>1</x:v>
      </x:c>
      <x:c r="I127" s="96" t="n">
        <x:f>'Sources &amp; Assumptions'!$E$110+('Sources &amp; Assumptions'!$E$111-'Sources &amp; Assumptions'!$E$110)*I117</x:f>
        <x:v>1</x:v>
      </x:c>
      <x:c r="J127" s="96" t="n">
        <x:f>'Sources &amp; Assumptions'!$E$110+('Sources &amp; Assumptions'!$E$111-'Sources &amp; Assumptions'!$E$110)*J117</x:f>
        <x:v>1</x:v>
      </x:c>
      <x:c r="K127" s="1"/>
      <x:c r="L127" s="1"/>
      <x:c r="M127" s="1"/>
      <x:c r="N127" s="1"/>
      <x:c r="O127" s="1"/>
      <x:c r="P127" s="1"/>
      <x:c r="Q127" s="1"/>
    </x:row>
    <x:row r="128">
      <x:c r="A128" s="17" t="str">
        <x:v>Pre-D&amp;A operating profit</x:v>
      </x:c>
      <x:c r="B128" s="17" t="str">
        <x:v>$m</x:v>
      </x:c>
      <x:c r="C128" s="33" t="n">
        <x:f>C120-C122-C124-C126</x:f>
        <x:v>309.7114551799318</x:v>
      </x:c>
      <x:c r="D128" s="33" t="n">
        <x:f>D120-D122-D124-D126</x:f>
        <x:v>343.2119909715933</x:v>
      </x:c>
      <x:c r="E128" s="33" t="n">
        <x:f>E120-E122-E124-E126</x:f>
        <x:v>373.0023249391128</x:v>
      </x:c>
      <x:c r="F128" s="33" t="n">
        <x:f>F120-F122-F124-F126</x:f>
        <x:v>398.4114839519581</x:v>
      </x:c>
      <x:c r="G128" s="33" t="n">
        <x:f>G120-G122-G124-G126</x:f>
        <x:v>418.9600035347182</x:v>
      </x:c>
      <x:c r="H128" s="33" t="n">
        <x:f>H120-H122-H124-H126</x:f>
        <x:v>434.400759039573</x:v>
      </x:c>
      <x:c r="I128" s="33" t="n">
        <x:f>I120-I122-I124-I126</x:f>
        <x:v>444.7463605668934</x:v>
      </x:c>
      <x:c r="J128" s="33" t="n">
        <x:f>J120-J122-J124-J126</x:f>
        <x:v>455.86501958106555</x:v>
      </x:c>
      <x:c r="K128" s="1"/>
      <x:c r="L128" s="1"/>
      <x:c r="M128" s="1"/>
      <x:c r="N128" s="1"/>
      <x:c r="O128" s="1"/>
      <x:c r="P128" s="1"/>
      <x:c r="Q128" s="1"/>
    </x:row>
    <x:row r="129">
      <x:c r="A129" s="17" t="str">
        <x:v>Operating fixed investment</x:v>
      </x:c>
      <x:c r="B129" s="17" t="str">
        <x:v>$m</x:v>
      </x:c>
      <x:c r="C129" s="33" t="n">
        <x:f>'Sources &amp; Assumptions'!C174</x:f>
        <x:v>52.364004991384334</x:v>
      </x:c>
      <x:c r="D129" s="33" t="n">
        <x:f>'Sources &amp; Assumptions'!D174</x:f>
        <x:v>55.62297530203232</x:v>
      </x:c>
      <x:c r="E129" s="33" t="n">
        <x:f>'Sources &amp; Assumptions'!E174</x:f>
        <x:v>59.07159977075833</x:v>
      </x:c>
      <x:c r="F129" s="33" t="n">
        <x:f>'Sources &amp; Assumptions'!F174</x:f>
        <x:v>62.56615125193372</x:v>
      </x:c>
      <x:c r="G129" s="33" t="n">
        <x:f>'Sources &amp; Assumptions'!G174</x:f>
        <x:v>65.92661216522838</x:v>
      </x:c>
      <x:c r="H129" s="33" t="n">
        <x:f>'Sources &amp; Assumptions'!H174</x:f>
        <x:v>68.93668248382498</x:v>
      </x:c>
      <x:c r="I129" s="33" t="n">
        <x:f>'Sources &amp; Assumptions'!I174</x:f>
        <x:v>71.34946637075885</x:v>
      </x:c>
      <x:c r="J129" s="33" t="n">
        <x:f>'Sources &amp; Assumptions'!J174</x:f>
        <x:v>73.13320303002781</x:v>
      </x:c>
      <x:c r="K129" s="1"/>
      <x:c r="L129" s="1"/>
      <x:c r="M129" s="1"/>
      <x:c r="N129" s="1"/>
      <x:c r="O129" s="1"/>
      <x:c r="P129" s="1"/>
      <x:c r="Q129" s="1"/>
    </x:row>
    <x:row r="130">
      <x:c r="A130" s="17" t="str">
        <x:v>D&amp;A</x:v>
      </x:c>
      <x:c r="B130" s="17" t="str">
        <x:v>$m</x:v>
      </x:c>
      <x:c r="C130" s="33" t="n">
        <x:f>'Sources &amp; Assumptions'!C173</x:f>
        <x:v>72.53838942033524</x:v>
      </x:c>
      <x:c r="D130" s="33" t="n">
        <x:f>'Sources &amp; Assumptions'!D173</x:f>
        <x:v>51.73245859380078</x:v>
      </x:c>
      <x:c r="E130" s="33" t="n">
        <x:f>'Sources &amp; Assumptions'!E173</x:f>
        <x:v>54.8309827123651</x:v>
      </x:c>
      <x:c r="F130" s="33" t="n">
        <x:f>'Sources &amp; Assumptions'!F173</x:f>
        <x:v>58.11067976024658</x:v>
      </x:c>
      <x:c r="G130" s="33" t="n">
        <x:f>'Sources &amp; Assumptions'!G173</x:f>
        <x:v>61.39846866917093</x:v>
      </x:c>
      <x:c r="H130" s="33" t="n">
        <x:f>'Sources &amp; Assumptions'!H173</x:f>
        <x:v>64.47239039314583</x:v>
      </x:c>
      <x:c r="I130" s="33" t="n">
        <x:f>'Sources &amp; Assumptions'!I173</x:f>
        <x:v>67.13548090041019</x:v>
      </x:c>
      <x:c r="J130" s="33" t="n">
        <x:f>'Sources &amp; Assumptions'!J173</x:f>
        <x:v>68.81386792292044</x:v>
      </x:c>
      <x:c r="K130" s="1"/>
      <x:c r="L130" s="1"/>
      <x:c r="M130" s="1"/>
      <x:c r="N130" s="1"/>
      <x:c r="O130" s="1"/>
      <x:c r="P130" s="1"/>
      <x:c r="Q130" s="1"/>
    </x:row>
    <x:row r="131">
      <x:c r="A131" s="17" t="str">
        <x:v>Forecast GAAP EBIT</x:v>
      </x:c>
      <x:c r="B131" s="17" t="str">
        <x:v>$m</x:v>
      </x:c>
      <x:c r="C131" s="33" t="n">
        <x:f>C128-C130</x:f>
        <x:v>237.17306575959657</x:v>
      </x:c>
      <x:c r="D131" s="33" t="n">
        <x:f>D128-D130</x:f>
        <x:v>291.4795323777925</x:v>
      </x:c>
      <x:c r="E131" s="33" t="n">
        <x:f>E128-E130</x:f>
        <x:v>318.1713422267477</x:v>
      </x:c>
      <x:c r="F131" s="33" t="n">
        <x:f>F128-F130</x:f>
        <x:v>340.3008041917115</x:v>
      </x:c>
      <x:c r="G131" s="33" t="n">
        <x:f>G128-G130</x:f>
        <x:v>357.5615348655473</x:v>
      </x:c>
      <x:c r="H131" s="33" t="n">
        <x:f>H128-H130</x:f>
        <x:v>369.9283686464272</x:v>
      </x:c>
      <x:c r="I131" s="33" t="n">
        <x:f>I128-I130</x:f>
        <x:v>377.6108796664832</x:v>
      </x:c>
      <x:c r="J131" s="33" t="n">
        <x:f>J128-J130</x:f>
        <x:v>387.0511516581451</x:v>
      </x:c>
      <x:c r="K131" s="1"/>
      <x:c r="L131" s="1"/>
      <x:c r="M131" s="1"/>
      <x:c r="N131" s="1"/>
      <x:c r="O131" s="1"/>
      <x:c r="P131" s="1"/>
      <x:c r="Q131" s="1"/>
    </x:row>
    <x:row r="132">
      <x:c r="A132" s="17" t="str">
        <x:v>Unlevered ETR</x:v>
      </x:c>
      <x:c r="B132" s="17" t="str">
        <x:v>%</x:v>
      </x:c>
      <x:c r="C132" s="32" t="n">
        <x:f>'Sources &amp; Assumptions'!$K$101</x:f>
        <x:v>0.25</x:v>
      </x:c>
      <x:c r="D132" s="32" t="n">
        <x:f>'Sources &amp; Assumptions'!$K$101</x:f>
        <x:v>0.25</x:v>
      </x:c>
      <x:c r="E132" s="32" t="n">
        <x:f>'Sources &amp; Assumptions'!$K$101</x:f>
        <x:v>0.25</x:v>
      </x:c>
      <x:c r="F132" s="32" t="n">
        <x:f>'Sources &amp; Assumptions'!$K$101</x:f>
        <x:v>0.25</x:v>
      </x:c>
      <x:c r="G132" s="32" t="n">
        <x:f>'Sources &amp; Assumptions'!$K$101</x:f>
        <x:v>0.25</x:v>
      </x:c>
      <x:c r="H132" s="32" t="n">
        <x:f>'Sources &amp; Assumptions'!$K$101</x:f>
        <x:v>0.25</x:v>
      </x:c>
      <x:c r="I132" s="32" t="n">
        <x:f>'Sources &amp; Assumptions'!$K$101</x:f>
        <x:v>0.25</x:v>
      </x:c>
      <x:c r="J132" s="32" t="n">
        <x:f>'Sources &amp; Assumptions'!$K$101</x:f>
        <x:v>0.25</x:v>
      </x:c>
      <x:c r="K132" s="1"/>
      <x:c r="L132" s="1"/>
      <x:c r="M132" s="1"/>
      <x:c r="N132" s="1"/>
      <x:c r="O132" s="1"/>
      <x:c r="P132" s="1"/>
      <x:c r="Q132" s="1"/>
    </x:row>
    <x:row r="133">
      <x:c r="A133" s="17" t="str">
        <x:v>NOPAT</x:v>
      </x:c>
      <x:c r="B133" s="17" t="str">
        <x:v>$m</x:v>
      </x:c>
      <x:c r="C133" s="33" t="n">
        <x:f>C131*(1-C132)</x:f>
        <x:v>177.87979931969744</x:v>
      </x:c>
      <x:c r="D133" s="33" t="n">
        <x:f>D131*(1-D132)</x:f>
        <x:v>218.60964928334437</x:v>
      </x:c>
      <x:c r="E133" s="33" t="n">
        <x:f>E131*(1-E132)</x:f>
        <x:v>238.62850667006077</x:v>
      </x:c>
      <x:c r="F133" s="33" t="n">
        <x:f>F131*(1-F132)</x:f>
        <x:v>255.22560314378364</x:v>
      </x:c>
      <x:c r="G133" s="33" t="n">
        <x:f>G131*(1-G132)</x:f>
        <x:v>268.17115114916044</x:v>
      </x:c>
      <x:c r="H133" s="33" t="n">
        <x:f>H131*(1-H132)</x:f>
        <x:v>277.4462764848204</x:v>
      </x:c>
      <x:c r="I133" s="33" t="n">
        <x:f>I131*(1-I132)</x:f>
        <x:v>283.2081597498624</x:v>
      </x:c>
      <x:c r="J133" s="33" t="n">
        <x:f>J131*(1-J132)</x:f>
        <x:v>290.28836374360884</x:v>
      </x:c>
      <x:c r="K133" s="1"/>
      <x:c r="L133" s="1"/>
      <x:c r="M133" s="1"/>
      <x:c r="N133" s="1"/>
      <x:c r="O133" s="1"/>
      <x:c r="P133" s="1"/>
      <x:c r="Q133" s="1"/>
    </x:row>
    <x:row r="134">
      <x:c r="A134" s="17" t="str">
        <x:v>Ending operating working capital</x:v>
      </x:c>
      <x:c r="B134" s="17" t="str">
        <x:v>$m</x:v>
      </x:c>
      <x:c r="C134" s="33" t="n">
        <x:f>'Sources &amp; Assumptions'!G162</x:f>
        <x:v>282.3626114070395</x:v>
      </x:c>
      <x:c r="D134" s="33" t="n">
        <x:f>D118*'Sources &amp; Assumptions'!$E$112/365+D118*SUM('Sources &amp; Assumptions'!$K$102:$K$103)-(D118-D120)*'Sources &amp; Assumptions'!$E$113/365-D118*SUM('Sources &amp; Assumptions'!$K$104:$K$106)</x:f>
        <x:v>312.81756216797817</x:v>
      </x:c>
      <x:c r="E134" s="33" t="n">
        <x:f>E118*'Sources &amp; Assumptions'!$E$112/365+E118*SUM('Sources &amp; Assumptions'!$K$102:$K$103)-(E118-E120)*'Sources &amp; Assumptions'!$E$113/365-E118*SUM('Sources &amp; Assumptions'!$K$104:$K$106)</x:f>
        <x:v>342.01278542016894</x:v>
      </x:c>
      <x:c r="F134" s="33" t="n">
        <x:f>F118*'Sources &amp; Assumptions'!$E$112/365+F118*SUM('Sources &amp; Assumptions'!$K$102:$K$103)-(F118-F120)*'Sources &amp; Assumptions'!$E$113/365-F118*SUM('Sources &amp; Assumptions'!$K$104:$K$106)</x:f>
        <x:v>368.9338544400839</x:v>
      </x:c>
      <x:c r="G134" s="33" t="n">
        <x:f>G118*'Sources &amp; Assumptions'!$E$112/365+G118*SUM('Sources &amp; Assumptions'!$K$102:$K$103)-(G118-G120)*'Sources &amp; Assumptions'!$E$113/365-G118*SUM('Sources &amp; Assumptions'!$K$104:$K$106)</x:f>
        <x:v>392.55709250505913</x:v>
      </x:c>
      <x:c r="H134" s="33" t="n">
        <x:f>H118*'Sources &amp; Assumptions'!$E$112/365+H118*SUM('Sources &amp; Assumptions'!$K$102:$K$103)-(H118-H120)*'Sources &amp; Assumptions'!$E$113/365-H118*SUM('Sources &amp; Assumptions'!$K$104:$K$106)</x:f>
        <x:v>411.9099759967503</x:v>
      </x:c>
      <x:c r="I134" s="33" t="n">
        <x:f>I118*'Sources &amp; Assumptions'!$E$112/365+I118*SUM('Sources &amp; Assumptions'!$K$102:$K$103)-(I118-I120)*'Sources &amp; Assumptions'!$E$113/365-I118*SUM('Sources &amp; Assumptions'!$K$104:$K$106)</x:f>
        <x:v>426.1343453631433</x:v>
      </x:c>
      <x:c r="J134" s="33" t="n">
        <x:f>J118*'Sources &amp; Assumptions'!$E$112/365+J118*SUM('Sources &amp; Assumptions'!$K$102:$K$103)-(J118-J120)*'Sources &amp; Assumptions'!$E$113/365-J118*SUM('Sources &amp; Assumptions'!$K$104:$K$106)</x:f>
        <x:v>436.787703997222</x:v>
      </x:c>
      <x:c r="K134" s="1"/>
      <x:c r="L134" s="1"/>
      <x:c r="M134" s="1"/>
      <x:c r="N134" s="1"/>
      <x:c r="O134" s="1"/>
      <x:c r="P134" s="1"/>
      <x:c r="Q134" s="1"/>
    </x:row>
    <x:row r="135">
      <x:c r="A135" s="17" t="str">
        <x:v>Investment in working capital</x:v>
      </x:c>
      <x:c r="B135" s="17" t="str">
        <x:v>$m</x:v>
      </x:c>
      <x:c r="C135" s="33" t="n">
        <x:f>'Sources &amp; Assumptions'!G163</x:f>
        <x:v>36.58593345316274</x:v>
      </x:c>
      <x:c r="D135" s="33" t="n">
        <x:f>D134-C134</x:f>
        <x:v>30.454950760938686</x:v>
      </x:c>
      <x:c r="E135" s="33" t="n">
        <x:f>E134-D134</x:f>
        <x:v>29.19522325219077</x:v>
      </x:c>
      <x:c r="F135" s="33" t="n">
        <x:f>F134-E134</x:f>
        <x:v>26.921069019914967</x:v>
      </x:c>
      <x:c r="G135" s="33" t="n">
        <x:f>G134-F134</x:f>
        <x:v>23.623238064975226</x:v>
      </x:c>
      <x:c r="H135" s="33" t="n">
        <x:f>H134-G134</x:f>
        <x:v>19.35288349169116</x:v>
      </x:c>
      <x:c r="I135" s="33" t="n">
        <x:f>I134-H134</x:f>
        <x:v>14.224369366393034</x:v>
      </x:c>
      <x:c r="J135" s="33" t="n">
        <x:f>J134-I134</x:f>
        <x:v>10.6533586340787</x:v>
      </x:c>
      <x:c r="K135" s="1"/>
      <x:c r="L135" s="1"/>
      <x:c r="M135" s="1"/>
      <x:c r="N135" s="1"/>
      <x:c r="O135" s="1"/>
      <x:c r="P135" s="1"/>
      <x:c r="Q135" s="1"/>
    </x:row>
    <x:row r="136">
      <x:c r="A136" s="17" t="str">
        <x:v>FCFF</x:v>
      </x:c>
      <x:c r="B136" s="17" t="str">
        <x:v>$m</x:v>
      </x:c>
      <x:c r="C136" s="33" t="n">
        <x:f>C133+C130-C129-C135</x:f>
        <x:v>161.46825029548563</x:v>
      </x:c>
      <x:c r="D136" s="33" t="n">
        <x:f>D133+D130-D129-D135</x:f>
        <x:v>184.26418181417415</x:v>
      </x:c>
      <x:c r="E136" s="33" t="n">
        <x:f>E133+E130-E129-E135</x:f>
        <x:v>205.1926663594768</x:v>
      </x:c>
      <x:c r="F136" s="33" t="n">
        <x:f>F133+F130-F129-F135</x:f>
        <x:v>223.84906263218153</x:v>
      </x:c>
      <x:c r="G136" s="33" t="n">
        <x:f>G133+G130-G129-G135</x:f>
        <x:v>240.01976958812776</x:v>
      </x:c>
      <x:c r="H136" s="33" t="n">
        <x:f>H133+H130-H129-H135</x:f>
        <x:v>253.62910090245003</x:v>
      </x:c>
      <x:c r="I136" s="33" t="n">
        <x:f>I133+I130-I129-I135</x:f>
        <x:v>264.76980491312065</x:v>
      </x:c>
      <x:c r="J136" s="33" t="n">
        <x:f>J133+J130-J129-J135</x:f>
        <x:v>275.3156700024228</x:v>
      </x:c>
      <x:c r="K136" s="1"/>
      <x:c r="L136" s="1"/>
      <x:c r="M136" s="1"/>
      <x:c r="N136" s="1"/>
      <x:c r="O136" s="1"/>
      <x:c r="P136" s="1"/>
      <x:c r="Q136" s="1"/>
    </x:row>
    <x:row r="137">
      <x:c r="A137" s="17" t="str">
        <x:v>FCFF margin</x:v>
      </x:c>
      <x:c r="B137" s="17" t="str">
        <x:v>%</x:v>
      </x:c>
      <x:c r="C137" s="32" t="n">
        <x:f>C136/C118</x:f>
        <x:v>0.05034744792622167</x:v>
      </x:c>
      <x:c r="D137" s="32" t="n">
        <x:f>D136/D118</x:f>
        <x:v>0.05176166843600017</x:v>
      </x:c>
      <x:c r="E137" s="32" t="n">
        <x:f>E136/E118</x:f>
        <x:v>0.052639900433225036</x:v>
      </x:c>
      <x:c r="F137" s="32" t="n">
        <x:f>F136/F118</x:f>
        <x:v>0.053172214599167475</x:v>
      </x:c>
      <x:c r="G137" s="32" t="n">
        <x:f>G136/G118</x:f>
        <x:v>0.05353365249848823</x:v>
      </x:c>
      <x:c r="H137" s="32" t="n">
        <x:f>H136/H118</x:f>
        <x:v>0.05387529287399947</x:v>
      </x:c>
      <x:c r="I137" s="32" t="n">
        <x:f>I136/I118</x:f>
        <x:v>0.05433987906506906</x:v>
      </x:c>
      <x:c r="J137" s="32" t="n">
        <x:f>J136/J118</x:f>
        <x:v>0.0551261011108164</x:v>
      </x:c>
      <x:c r="K137" s="1"/>
      <x:c r="L137" s="1"/>
      <x:c r="M137" s="1"/>
      <x:c r="N137" s="1"/>
      <x:c r="O137" s="1"/>
      <x:c r="P137" s="1"/>
      <x:c r="Q137" s="1"/>
    </x:row>
    <x:row r="138">
      <x:c r="A138" s="17" t="str">
        <x:v>Discount factor — valuation date</x:v>
      </x:c>
      <x:c r="B138" s="17" t="str">
        <x:v>x</x:v>
      </x:c>
      <x:c r="C138" s="98" t="n">
        <x:f>1/(1+'Sources &amp; Assumptions'!$E$98)^((DATE(C$115,6,30)-'Sources &amp; Assumptions'!$K$97)/365)</x:f>
        <x:v>0.6684068386521467</x:v>
      </x:c>
      <x:c r="D138" s="98" t="n">
        <x:f>1/(1+'Sources &amp; Assumptions'!$E$98)^((DATE(D$115,6,30)-'Sources &amp; Assumptions'!$K$97)/365)</x:f>
        <x:v>0.602168323110042</x:v>
      </x:c>
      <x:c r="E138" s="98" t="n">
        <x:f>1/(1+'Sources &amp; Assumptions'!$E$98)^((DATE(E$115,6,30)-'Sources &amp; Assumptions'!$K$97)/365)</x:f>
        <x:v>0.5423388982420058</x:v>
      </x:c>
      <x:c r="F138" s="98" t="n">
        <x:f>1/(1+'Sources &amp; Assumptions'!$E$98)^((DATE(F$115,6,30)-'Sources &amp; Assumptions'!$K$97)/365)</x:f>
        <x:v>0.48859360201982494</x:v>
      </x:c>
      <x:c r="G138" s="98" t="n">
        <x:f>1/(1+'Sources &amp; Assumptions'!$E$98)^((DATE(G$115,6,30)-'Sources &amp; Assumptions'!$K$97)/365)</x:f>
        <x:v>0.44017441623407655</x:v>
      </x:c>
      <x:c r="H138" s="98" t="n">
        <x:f>1/(1+'Sources &amp; Assumptions'!$E$98)^((DATE(H$115,6,30)-'Sources &amp; Assumptions'!$K$97)/365)</x:f>
        <x:v>0.3965535281388076</x:v>
      </x:c>
      <x:c r="I138" s="98" t="n">
        <x:f>1/(1+'Sources &amp; Assumptions'!$E$98)^((DATE(I$115,6,30)-'Sources &amp; Assumptions'!$K$97)/365)</x:f>
        <x:v>0.3571532996521959</x:v>
      </x:c>
      <x:c r="J138" s="98" t="n">
        <x:f>1/(1+'Sources &amp; Assumptions'!$E$98)^((DATE(J$115,6,30)-'Sources &amp; Assumptions'!$K$97)/365)</x:f>
        <x:v>0.3217597294163927</x:v>
      </x:c>
      <x:c r="K138" s="1"/>
      <x:c r="L138" s="1"/>
      <x:c r="M138" s="1"/>
      <x:c r="N138" s="1"/>
      <x:c r="O138" s="1"/>
      <x:c r="P138" s="1"/>
      <x:c r="Q138" s="1"/>
    </x:row>
    <x:row r="139">
      <x:c r="A139" s="17" t="str">
        <x:v>PV of FCFF — valuation date</x:v>
      </x:c>
      <x:c r="B139" s="17" t="str">
        <x:v>$m</x:v>
      </x:c>
      <x:c r="C139" s="33" t="n">
        <x:f>IF(C$115='Sources &amp; Assumptions'!$E$101,0,C136*C138)</x:f>
        <x:v>107.9264827226991</x:v>
      </x:c>
      <x:c r="D139" s="33" t="n">
        <x:f>IF(D$115='Sources &amp; Assumptions'!$E$101,0,D136*D138)</x:f>
        <x:v>110.95805337228514</x:v>
      </x:c>
      <x:c r="E139" s="33" t="n">
        <x:f>IF(E$115='Sources &amp; Assumptions'!$E$101,0,E136*E138)</x:f>
        <x:v>111.28396460073812</x:v>
      </x:c>
      <x:c r="F139" s="33" t="n">
        <x:f>IF(F$115='Sources &amp; Assumptions'!$E$101,0,F136*F138)</x:f>
        <x:v>109.37121982021897</x:v>
      </x:c>
      <x:c r="G139" s="33" t="n">
        <x:f>IF(G$115='Sources &amp; Assumptions'!$E$101,0,G136*G138)</x:f>
        <x:v>105.65056196309169</x:v>
      </x:c>
      <x:c r="H139" s="33" t="n">
        <x:f>IF(H$115='Sources &amp; Assumptions'!$E$101,0,H136*H138)</x:f>
        <x:v>100.5775148015402</x:v>
      </x:c>
      <x:c r="I139" s="33" t="n">
        <x:f>IF(I$115='Sources &amp; Assumptions'!$E$101,0,I136*I138)</x:f>
        <x:v>94.56340947298922</x:v>
      </x:c>
      <x:c r="J139" s="33" t="n">
        <x:f>IF(J$115='Sources &amp; Assumptions'!$E$101,0,J136*J138)</x:f>
        <x:v>0</x:v>
      </x:c>
      <x:c r="K139" s="1"/>
      <x:c r="L139" s="1"/>
      <x:c r="M139" s="1"/>
      <x:c r="N139" s="1"/>
      <x:c r="O139" s="1"/>
      <x:c r="P139" s="1"/>
      <x:c r="Q139" s="1"/>
    </x:row>
    <x:row r="140">
      <x:c r="A140" s="17" t="str">
        <x:v>Discount factor — target date</x:v>
      </x:c>
      <x:c r="B140" s="17" t="str">
        <x:v>x</x:v>
      </x:c>
      <x:c r="C140" s="98" t="n">
        <x:f>1/(1+'Sources &amp; Assumptions'!$E$98)^((DATE(C$115,6,30)-'Sources &amp; Assumptions'!$K$98)/365)</x:f>
        <x:v>0.7419315909038829</x:v>
      </x:c>
      <x:c r="D140" s="98" t="n">
        <x:f>1/(1+'Sources &amp; Assumptions'!$E$98)^((DATE(D$115,6,30)-'Sources &amp; Assumptions'!$K$98)/365)</x:f>
        <x:v>0.6684068386521467</x:v>
      </x:c>
      <x:c r="E140" s="98" t="n">
        <x:f>1/(1+'Sources &amp; Assumptions'!$E$98)^((DATE(E$115,6,30)-'Sources &amp; Assumptions'!$K$98)/365)</x:f>
        <x:v>0.6019961770486264</x:v>
      </x:c>
      <x:c r="F140" s="98" t="n">
        <x:f>1/(1+'Sources &amp; Assumptions'!$E$98)^((DATE(F$115,6,30)-'Sources &amp; Assumptions'!$K$98)/365)</x:f>
        <x:v>0.5423388982420058</x:v>
      </x:c>
      <x:c r="G140" s="98" t="n">
        <x:f>1/(1+'Sources &amp; Assumptions'!$E$98)^((DATE(G$115,6,30)-'Sources &amp; Assumptions'!$K$98)/365)</x:f>
        <x:v>0.48859360201982494</x:v>
      </x:c>
      <x:c r="H140" s="98" t="n">
        <x:f>1/(1+'Sources &amp; Assumptions'!$E$98)^((DATE(H$115,6,30)-'Sources &amp; Assumptions'!$K$98)/365)</x:f>
        <x:v>0.44017441623407655</x:v>
      </x:c>
      <x:c r="I140" s="98" t="n">
        <x:f>1/(1+'Sources &amp; Assumptions'!$E$98)^((DATE(I$115,6,30)-'Sources &amp; Assumptions'!$K$98)/365)</x:f>
        <x:v>0.3964401626139375</x:v>
      </x:c>
      <x:c r="J140" s="98" t="n">
        <x:f>1/(1+'Sources &amp; Assumptions'!$E$98)^((DATE(J$115,6,30)-'Sources &amp; Assumptions'!$K$98)/365)</x:f>
        <x:v>0.3571532996521959</x:v>
      </x:c>
      <x:c r="K140" s="1"/>
      <x:c r="L140" s="1"/>
      <x:c r="M140" s="1"/>
      <x:c r="N140" s="1"/>
      <x:c r="O140" s="1"/>
      <x:c r="P140" s="1"/>
      <x:c r="Q140" s="1"/>
    </x:row>
    <x:row r="141">
      <x:c r="A141" s="17" t="str">
        <x:v>PV of FCFF — target date</x:v>
      </x:c>
      <x:c r="B141" s="17" t="str">
        <x:v>$m</x:v>
      </x:c>
      <x:c r="C141" s="33" t="n">
        <x:f>IF(C$115='Sources &amp; Assumptions'!$E$101,0,C136*C140)</x:f>
        <x:v>119.79839582219603</x:v>
      </x:c>
      <x:c r="D141" s="33" t="n">
        <x:f>IF(D$115='Sources &amp; Assumptions'!$E$101,0,D136*D140)</x:f>
        <x:v>123.16343924323652</x:v>
      </x:c>
      <x:c r="E141" s="33" t="n">
        <x:f>IF(E$115='Sources &amp; Assumptions'!$E$101,0,E136*E140)</x:f>
        <x:v>123.52520070681932</x:v>
      </x:c>
      <x:c r="F141" s="33" t="n">
        <x:f>IF(F$115='Sources &amp; Assumptions'!$E$101,0,F136*F140)</x:f>
        <x:v>121.40205400044307</x:v>
      </x:c>
      <x:c r="G141" s="33" t="n">
        <x:f>IF(G$115='Sources &amp; Assumptions'!$E$101,0,G136*G140)</x:f>
        <x:v>117.27212377903177</x:v>
      </x:c>
      <x:c r="H141" s="33" t="n">
        <x:f>IF(H$115='Sources &amp; Assumptions'!$E$101,0,H136*H140)</x:f>
        <x:v>111.64104142970965</x:v>
      </x:c>
      <x:c r="I141" s="33" t="n">
        <x:f>IF(I$115='Sources &amp; Assumptions'!$E$101,0,I136*I140)</x:f>
        <x:v>104.96538451501806</x:v>
      </x:c>
      <x:c r="J141" s="33" t="n">
        <x:f>IF(J$115='Sources &amp; Assumptions'!$E$101,0,J136*J140)</x:f>
        <x:v>0</x:v>
      </x:c>
      <x:c r="K141" s="1"/>
      <x:c r="L141" s="1"/>
      <x:c r="M141" s="1"/>
      <x:c r="N141" s="1"/>
      <x:c r="O141" s="1"/>
      <x:c r="P141" s="1"/>
      <x:c r="Q141" s="1"/>
    </x:row>
    <x:row r="142">
      <x:c r="A142" s="17" t="str">
        <x:v>Terminal value</x:v>
      </x:c>
      <x:c r="B142" s="17" t="str">
        <x:v>$m</x:v>
      </x:c>
      <x:c r="C142" s="33"/>
      <x:c r="D142" s="33"/>
      <x:c r="E142" s="33"/>
      <x:c r="F142" s="33"/>
      <x:c r="G142" s="33"/>
      <x:c r="H142" s="33"/>
      <x:c r="I142" s="33"/>
      <x:c r="J142" s="33" t="n">
        <x:f>J136/('Sources &amp; Assumptions'!E$98-'Sources &amp; Assumptions'!E$99)</x:f>
        <x:v>3239.0078823814447</x:v>
      </x:c>
      <x:c r="K142" s="1"/>
      <x:c r="L142" s="1"/>
      <x:c r="M142" s="1"/>
      <x:c r="N142" s="1"/>
      <x:c r="O142" s="1"/>
      <x:c r="P142" s="1"/>
      <x:c r="Q142" s="1"/>
    </x:row>
    <x:row r="143">
      <x:c r="A143" s="17" t="str">
        <x:v>PV of terminal value — valuation date</x:v>
      </x:c>
      <x:c r="B143" s="17" t="str">
        <x:v>$m</x:v>
      </x:c>
      <x:c r="C143" s="33"/>
      <x:c r="D143" s="33"/>
      <x:c r="E143" s="33"/>
      <x:c r="F143" s="33"/>
      <x:c r="G143" s="33"/>
      <x:c r="H143" s="33"/>
      <x:c r="I143" s="33"/>
      <x:c r="J143" s="33" t="n">
        <x:f>J142/(1+'Sources &amp; Assumptions'!E$98)^((DATE('Sources &amp; Assumptions'!E$100,12,31)-'Sources &amp; Assumptions'!$K$97)/365)</x:f>
        <x:v>1097.5363770033334</x:v>
      </x:c>
      <x:c r="K143" s="1"/>
      <x:c r="L143" s="1"/>
      <x:c r="M143" s="1"/>
      <x:c r="N143" s="1"/>
      <x:c r="O143" s="1"/>
      <x:c r="P143" s="1"/>
      <x:c r="Q143" s="1"/>
    </x:row>
    <x:row r="144">
      <x:c r="A144" s="17" t="str">
        <x:v>PV of terminal value — target date</x:v>
      </x:c>
      <x:c r="B144" s="17" t="str">
        <x:v>$m</x:v>
      </x:c>
      <x:c r="C144" s="33"/>
      <x:c r="D144" s="33"/>
      <x:c r="E144" s="33"/>
      <x:c r="F144" s="33"/>
      <x:c r="G144" s="33"/>
      <x:c r="H144" s="33"/>
      <x:c r="I144" s="33"/>
      <x:c r="J144" s="33" t="n">
        <x:f>J142/(1+'Sources &amp; Assumptions'!E$98)^((DATE('Sources &amp; Assumptions'!E$100,12,31)-'Sources &amp; Assumptions'!$K$98)/365)</x:f>
        <x:v>1218.2653784737004</x:v>
      </x:c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0" customHeight="1">
      <x:c r="A148" s="11" t="str">
        <x:v>Twelve-month Base value per share — WACC and perpetual growth</x:v>
      </x:c>
      <x:c r="B148" s="11" t="str">
        <x:v>Twelve-month Base value per share — WACC and perpetual growth</x:v>
      </x:c>
      <x:c r="C148" s="11" t="str">
        <x:v>Twelve-month Base value per share — WACC and perpetual growth</x:v>
      </x:c>
      <x:c r="D148" s="11" t="str">
        <x:v>Twelve-month Base value per share — WACC and perpetual growth</x:v>
      </x:c>
      <x:c r="E148" s="11" t="str">
        <x:v>Twelve-month Base value per share — WACC and perpetual growth</x:v>
      </x:c>
      <x:c r="F148" s="11" t="str">
        <x:v>Twelve-month Base value per share — WACC and perpetual growth</x:v>
      </x:c>
      <x:c r="G148" s="11" t="str">
        <x:v>Twelve-month Base value per share — WACC and perpetual growth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6" t="str">
        <x:v>WACC / perpetual growth</x:v>
      </x:c>
      <x:c r="B149" s="112" t="n">
        <x:v>0.025</x:v>
      </x:c>
      <x:c r="C149" s="112" t="n">
        <x:v>0.0275</x:v>
      </x:c>
      <x:c r="D149" s="112" t="n">
        <x:v>0.03</x:v>
      </x:c>
      <x:c r="E149" s="112" t="n">
        <x:v>0.0325</x:v>
      </x:c>
      <x:c r="F149" s="112" t="n">
        <x:v>0.035</x:v>
      </x:c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13" t="n">
        <x:v>0.1</x:v>
      </x:c>
      <x:c r="B150" s="52" t="n">
        <x:f>(SUM(Forecast!$J$35/(1+$A150)^((DATE(2028,6,30)-'Sources &amp; Assumptions'!$K$98)/365),Forecast!$K$35/(1+$A150)^((DATE(2029,6,30)-'Sources &amp; Assumptions'!$K$98)/365),$C$99/(1+$A150)^((DATE(2030,6,30)-'Sources &amp; Assumptions'!$K$98)/365),$D$99/(1+$A150)^((DATE(2031,6,30)-'Sources &amp; Assumptions'!$K$98)/365),$E$99/(1+$A150)^((DATE(2032,6,30)-'Sources &amp; Assumptions'!$K$98)/365),$F$99/(1+$A150)^((DATE(2033,6,30)-'Sources &amp; Assumptions'!$K$98)/365),$G$99/(1+$A150)^((DATE(2034,6,30)-'Sources &amp; Assumptions'!$K$98)/365),$H$99/(1+$A150)^((DATE(2035,6,30)-'Sources &amp; Assumptions'!$K$98)/365),$I$99/(1+$A150)^((DATE(2036,6,30)-'Sources &amp; Assumptions'!$K$98)/365),$J$99/(1+$A150)^((DATE(2037,6,30)-'Sources &amp; Assumptions'!$K$98)/365),$K$99/(1+$A150)^((DATE(2038,6,30)-'Sources &amp; Assumptions'!$K$98)/365),$L$99/(1+$A150)^((DATE(2039,6,30)-'Sources &amp; Assumptions'!$K$98)/365),$M$99/(1+$A150)^((DATE(2040,6,30)-'Sources &amp; Assumptions'!$K$98)/365))+$N$99/($A150-B$149)/(1+$A150)^((DATE(2040,12,31)-'Sources &amp; Assumptions'!$K$98)/365)+$D$28-$D$24)/$D$26</x:f>
        <x:v>38.41064973897718</x:v>
      </x:c>
      <x:c r="C150" s="52" t="n">
        <x:f>(SUM(Forecast!$J$35/(1+$A150)^((DATE(2028,6,30)-'Sources &amp; Assumptions'!$K$98)/365),Forecast!$K$35/(1+$A150)^((DATE(2029,6,30)-'Sources &amp; Assumptions'!$K$98)/365),$C$99/(1+$A150)^((DATE(2030,6,30)-'Sources &amp; Assumptions'!$K$98)/365),$D$99/(1+$A150)^((DATE(2031,6,30)-'Sources &amp; Assumptions'!$K$98)/365),$E$99/(1+$A150)^((DATE(2032,6,30)-'Sources &amp; Assumptions'!$K$98)/365),$F$99/(1+$A150)^((DATE(2033,6,30)-'Sources &amp; Assumptions'!$K$98)/365),$G$99/(1+$A150)^((DATE(2034,6,30)-'Sources &amp; Assumptions'!$K$98)/365),$H$99/(1+$A150)^((DATE(2035,6,30)-'Sources &amp; Assumptions'!$K$98)/365),$I$99/(1+$A150)^((DATE(2036,6,30)-'Sources &amp; Assumptions'!$K$98)/365),$J$99/(1+$A150)^((DATE(2037,6,30)-'Sources &amp; Assumptions'!$K$98)/365),$K$99/(1+$A150)^((DATE(2038,6,30)-'Sources &amp; Assumptions'!$K$98)/365),$L$99/(1+$A150)^((DATE(2039,6,30)-'Sources &amp; Assumptions'!$K$98)/365),$M$99/(1+$A150)^((DATE(2040,6,30)-'Sources &amp; Assumptions'!$K$98)/365))+$N$99/($A150-C$149)/(1+$A150)^((DATE(2040,12,31)-'Sources &amp; Assumptions'!$K$98)/365)+$D$28-$D$24)/$D$26</x:f>
        <x:v>39.072654113239565</x:v>
      </x:c>
      <x:c r="D150" s="52" t="n">
        <x:f>(SUM(Forecast!$J$35/(1+$A150)^((DATE(2028,6,30)-'Sources &amp; Assumptions'!$K$98)/365),Forecast!$K$35/(1+$A150)^((DATE(2029,6,30)-'Sources &amp; Assumptions'!$K$98)/365),$C$99/(1+$A150)^((DATE(2030,6,30)-'Sources &amp; Assumptions'!$K$98)/365),$D$99/(1+$A150)^((DATE(2031,6,30)-'Sources &amp; Assumptions'!$K$98)/365),$E$99/(1+$A150)^((DATE(2032,6,30)-'Sources &amp; Assumptions'!$K$98)/365),$F$99/(1+$A150)^((DATE(2033,6,30)-'Sources &amp; Assumptions'!$K$98)/365),$G$99/(1+$A150)^((DATE(2034,6,30)-'Sources &amp; Assumptions'!$K$98)/365),$H$99/(1+$A150)^((DATE(2035,6,30)-'Sources &amp; Assumptions'!$K$98)/365),$I$99/(1+$A150)^((DATE(2036,6,30)-'Sources &amp; Assumptions'!$K$98)/365),$J$99/(1+$A150)^((DATE(2037,6,30)-'Sources &amp; Assumptions'!$K$98)/365),$K$99/(1+$A150)^((DATE(2038,6,30)-'Sources &amp; Assumptions'!$K$98)/365),$L$99/(1+$A150)^((DATE(2039,6,30)-'Sources &amp; Assumptions'!$K$98)/365),$M$99/(1+$A150)^((DATE(2040,6,30)-'Sources &amp; Assumptions'!$K$98)/365))+$N$99/($A150-D$149)/(1+$A150)^((DATE(2040,12,31)-'Sources &amp; Assumptions'!$K$98)/365)+$D$28-$D$24)/$D$26</x:f>
        <x:v>39.781944514234965</x:v>
      </x:c>
      <x:c r="E150" s="52" t="n">
        <x:f>(SUM(Forecast!$J$35/(1+$A150)^((DATE(2028,6,30)-'Sources &amp; Assumptions'!$K$98)/365),Forecast!$K$35/(1+$A150)^((DATE(2029,6,30)-'Sources &amp; Assumptions'!$K$98)/365),$C$99/(1+$A150)^((DATE(2030,6,30)-'Sources &amp; Assumptions'!$K$98)/365),$D$99/(1+$A150)^((DATE(2031,6,30)-'Sources &amp; Assumptions'!$K$98)/365),$E$99/(1+$A150)^((DATE(2032,6,30)-'Sources &amp; Assumptions'!$K$98)/365),$F$99/(1+$A150)^((DATE(2033,6,30)-'Sources &amp; Assumptions'!$K$98)/365),$G$99/(1+$A150)^((DATE(2034,6,30)-'Sources &amp; Assumptions'!$K$98)/365),$H$99/(1+$A150)^((DATE(2035,6,30)-'Sources &amp; Assumptions'!$K$98)/365),$I$99/(1+$A150)^((DATE(2036,6,30)-'Sources &amp; Assumptions'!$K$98)/365),$J$99/(1+$A150)^((DATE(2037,6,30)-'Sources &amp; Assumptions'!$K$98)/365),$K$99/(1+$A150)^((DATE(2038,6,30)-'Sources &amp; Assumptions'!$K$98)/365),$L$99/(1+$A150)^((DATE(2039,6,30)-'Sources &amp; Assumptions'!$K$98)/365),$M$99/(1+$A150)^((DATE(2040,6,30)-'Sources &amp; Assumptions'!$K$98)/365))+$N$99/($A150-E$149)/(1+$A150)^((DATE(2040,12,31)-'Sources &amp; Assumptions'!$K$98)/365)+$D$28-$D$24)/$D$26</x:f>
        <x:v>40.543774944933745</x:v>
      </x:c>
      <x:c r="F150" s="52" t="n">
        <x:f>(SUM(Forecast!$J$35/(1+$A150)^((DATE(2028,6,30)-'Sources &amp; Assumptions'!$K$98)/365),Forecast!$K$35/(1+$A150)^((DATE(2029,6,30)-'Sources &amp; Assumptions'!$K$98)/365),$C$99/(1+$A150)^((DATE(2030,6,30)-'Sources &amp; Assumptions'!$K$98)/365),$D$99/(1+$A150)^((DATE(2031,6,30)-'Sources &amp; Assumptions'!$K$98)/365),$E$99/(1+$A150)^((DATE(2032,6,30)-'Sources &amp; Assumptions'!$K$98)/365),$F$99/(1+$A150)^((DATE(2033,6,30)-'Sources &amp; Assumptions'!$K$98)/365),$G$99/(1+$A150)^((DATE(2034,6,30)-'Sources &amp; Assumptions'!$K$98)/365),$H$99/(1+$A150)^((DATE(2035,6,30)-'Sources &amp; Assumptions'!$K$98)/365),$I$99/(1+$A150)^((DATE(2036,6,30)-'Sources &amp; Assumptions'!$K$98)/365),$J$99/(1+$A150)^((DATE(2037,6,30)-'Sources &amp; Assumptions'!$K$98)/365),$K$99/(1+$A150)^((DATE(2038,6,30)-'Sources &amp; Assumptions'!$K$98)/365),$L$99/(1+$A150)^((DATE(2039,6,30)-'Sources &amp; Assumptions'!$K$98)/365),$M$99/(1+$A150)^((DATE(2040,6,30)-'Sources &amp; Assumptions'!$K$98)/365))+$N$99/($A150-F$149)/(1+$A150)^((DATE(2040,12,31)-'Sources &amp; Assumptions'!$K$98)/365)+$D$28-$D$24)/$D$26</x:f>
        <x:v>41.3642077164555</x:v>
      </x:c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13" t="n">
        <x:v>0.105</x:v>
      </x:c>
      <x:c r="B151" s="52" t="n">
        <x:f>(SUM(Forecast!$J$35/(1+$A151)^((DATE(2028,6,30)-'Sources &amp; Assumptions'!$K$98)/365),Forecast!$K$35/(1+$A151)^((DATE(2029,6,30)-'Sources &amp; Assumptions'!$K$98)/365),$C$99/(1+$A151)^((DATE(2030,6,30)-'Sources &amp; Assumptions'!$K$98)/365),$D$99/(1+$A151)^((DATE(2031,6,30)-'Sources &amp; Assumptions'!$K$98)/365),$E$99/(1+$A151)^((DATE(2032,6,30)-'Sources &amp; Assumptions'!$K$98)/365),$F$99/(1+$A151)^((DATE(2033,6,30)-'Sources &amp; Assumptions'!$K$98)/365),$G$99/(1+$A151)^((DATE(2034,6,30)-'Sources &amp; Assumptions'!$K$98)/365),$H$99/(1+$A151)^((DATE(2035,6,30)-'Sources &amp; Assumptions'!$K$98)/365),$I$99/(1+$A151)^((DATE(2036,6,30)-'Sources &amp; Assumptions'!$K$98)/365),$J$99/(1+$A151)^((DATE(2037,6,30)-'Sources &amp; Assumptions'!$K$98)/365),$K$99/(1+$A151)^((DATE(2038,6,30)-'Sources &amp; Assumptions'!$K$98)/365),$L$99/(1+$A151)^((DATE(2039,6,30)-'Sources &amp; Assumptions'!$K$98)/365),$M$99/(1+$A151)^((DATE(2040,6,30)-'Sources &amp; Assumptions'!$K$98)/365))+$N$99/($A151-B$149)/(1+$A151)^((DATE(2040,12,31)-'Sources &amp; Assumptions'!$K$98)/365)+$D$28-$D$24)/$D$26</x:f>
        <x:v>35.550568918706254</x:v>
      </x:c>
      <x:c r="C151" s="52" t="n">
        <x:f>(SUM(Forecast!$J$35/(1+$A151)^((DATE(2028,6,30)-'Sources &amp; Assumptions'!$K$98)/365),Forecast!$K$35/(1+$A151)^((DATE(2029,6,30)-'Sources &amp; Assumptions'!$K$98)/365),$C$99/(1+$A151)^((DATE(2030,6,30)-'Sources &amp; Assumptions'!$K$98)/365),$D$99/(1+$A151)^((DATE(2031,6,30)-'Sources &amp; Assumptions'!$K$98)/365),$E$99/(1+$A151)^((DATE(2032,6,30)-'Sources &amp; Assumptions'!$K$98)/365),$F$99/(1+$A151)^((DATE(2033,6,30)-'Sources &amp; Assumptions'!$K$98)/365),$G$99/(1+$A151)^((DATE(2034,6,30)-'Sources &amp; Assumptions'!$K$98)/365),$H$99/(1+$A151)^((DATE(2035,6,30)-'Sources &amp; Assumptions'!$K$98)/365),$I$99/(1+$A151)^((DATE(2036,6,30)-'Sources &amp; Assumptions'!$K$98)/365),$J$99/(1+$A151)^((DATE(2037,6,30)-'Sources &amp; Assumptions'!$K$98)/365),$K$99/(1+$A151)^((DATE(2038,6,30)-'Sources &amp; Assumptions'!$K$98)/365),$L$99/(1+$A151)^((DATE(2039,6,30)-'Sources &amp; Assumptions'!$K$98)/365),$M$99/(1+$A151)^((DATE(2040,6,30)-'Sources &amp; Assumptions'!$K$98)/365))+$N$99/($A151-C$149)/(1+$A151)^((DATE(2040,12,31)-'Sources &amp; Assumptions'!$K$98)/365)+$D$28-$D$24)/$D$26</x:f>
        <x:v>36.09699303256954</x:v>
      </x:c>
      <x:c r="D151" s="52" t="n">
        <x:f>(SUM(Forecast!$J$35/(1+$A151)^((DATE(2028,6,30)-'Sources &amp; Assumptions'!$K$98)/365),Forecast!$K$35/(1+$A151)^((DATE(2029,6,30)-'Sources &amp; Assumptions'!$K$98)/365),$C$99/(1+$A151)^((DATE(2030,6,30)-'Sources &amp; Assumptions'!$K$98)/365),$D$99/(1+$A151)^((DATE(2031,6,30)-'Sources &amp; Assumptions'!$K$98)/365),$E$99/(1+$A151)^((DATE(2032,6,30)-'Sources &amp; Assumptions'!$K$98)/365),$F$99/(1+$A151)^((DATE(2033,6,30)-'Sources &amp; Assumptions'!$K$98)/365),$G$99/(1+$A151)^((DATE(2034,6,30)-'Sources &amp; Assumptions'!$K$98)/365),$H$99/(1+$A151)^((DATE(2035,6,30)-'Sources &amp; Assumptions'!$K$98)/365),$I$99/(1+$A151)^((DATE(2036,6,30)-'Sources &amp; Assumptions'!$K$98)/365),$J$99/(1+$A151)^((DATE(2037,6,30)-'Sources &amp; Assumptions'!$K$98)/365),$K$99/(1+$A151)^((DATE(2038,6,30)-'Sources &amp; Assumptions'!$K$98)/365),$L$99/(1+$A151)^((DATE(2039,6,30)-'Sources &amp; Assumptions'!$K$98)/365),$M$99/(1+$A151)^((DATE(2040,6,30)-'Sources &amp; Assumptions'!$K$98)/365))+$N$99/($A151-D$149)/(1+$A151)^((DATE(2040,12,31)-'Sources &amp; Assumptions'!$K$98)/365)+$D$28-$D$24)/$D$26</x:f>
        <x:v>36.67984542069039</x:v>
      </x:c>
      <x:c r="E151" s="52" t="n">
        <x:f>(SUM(Forecast!$J$35/(1+$A151)^((DATE(2028,6,30)-'Sources &amp; Assumptions'!$K$98)/365),Forecast!$K$35/(1+$A151)^((DATE(2029,6,30)-'Sources &amp; Assumptions'!$K$98)/365),$C$99/(1+$A151)^((DATE(2030,6,30)-'Sources &amp; Assumptions'!$K$98)/365),$D$99/(1+$A151)^((DATE(2031,6,30)-'Sources &amp; Assumptions'!$K$98)/365),$E$99/(1+$A151)^((DATE(2032,6,30)-'Sources &amp; Assumptions'!$K$98)/365),$F$99/(1+$A151)^((DATE(2033,6,30)-'Sources &amp; Assumptions'!$K$98)/365),$G$99/(1+$A151)^((DATE(2034,6,30)-'Sources &amp; Assumptions'!$K$98)/365),$H$99/(1+$A151)^((DATE(2035,6,30)-'Sources &amp; Assumptions'!$K$98)/365),$I$99/(1+$A151)^((DATE(2036,6,30)-'Sources &amp; Assumptions'!$K$98)/365),$J$99/(1+$A151)^((DATE(2037,6,30)-'Sources &amp; Assumptions'!$K$98)/365),$K$99/(1+$A151)^((DATE(2038,6,30)-'Sources &amp; Assumptions'!$K$98)/365),$L$99/(1+$A151)^((DATE(2039,6,30)-'Sources &amp; Assumptions'!$K$98)/365),$M$99/(1+$A151)^((DATE(2040,6,30)-'Sources &amp; Assumptions'!$K$98)/365))+$N$99/($A151-E$149)/(1+$A151)^((DATE(2040,12,31)-'Sources &amp; Assumptions'!$K$98)/365)+$D$28-$D$24)/$D$26</x:f>
        <x:v>37.30289452523336</x:v>
      </x:c>
      <x:c r="F151" s="52" t="n">
        <x:f>(SUM(Forecast!$J$35/(1+$A151)^((DATE(2028,6,30)-'Sources &amp; Assumptions'!$K$98)/365),Forecast!$K$35/(1+$A151)^((DATE(2029,6,30)-'Sources &amp; Assumptions'!$K$98)/365),$C$99/(1+$A151)^((DATE(2030,6,30)-'Sources &amp; Assumptions'!$K$98)/365),$D$99/(1+$A151)^((DATE(2031,6,30)-'Sources &amp; Assumptions'!$K$98)/365),$E$99/(1+$A151)^((DATE(2032,6,30)-'Sources &amp; Assumptions'!$K$98)/365),$F$99/(1+$A151)^((DATE(2033,6,30)-'Sources &amp; Assumptions'!$K$98)/365),$G$99/(1+$A151)^((DATE(2034,6,30)-'Sources &amp; Assumptions'!$K$98)/365),$H$99/(1+$A151)^((DATE(2035,6,30)-'Sources &amp; Assumptions'!$K$98)/365),$I$99/(1+$A151)^((DATE(2036,6,30)-'Sources &amp; Assumptions'!$K$98)/365),$J$99/(1+$A151)^((DATE(2037,6,30)-'Sources &amp; Assumptions'!$K$98)/365),$K$99/(1+$A151)^((DATE(2038,6,30)-'Sources &amp; Assumptions'!$K$98)/365),$L$99/(1+$A151)^((DATE(2039,6,30)-'Sources &amp; Assumptions'!$K$98)/365),$M$99/(1+$A151)^((DATE(2040,6,30)-'Sources &amp; Assumptions'!$K$98)/365))+$N$99/($A151-F$149)/(1+$A151)^((DATE(2040,12,31)-'Sources &amp; Assumptions'!$K$98)/365)+$D$28-$D$24)/$D$26</x:f>
        <x:v>37.970447137243696</x:v>
      </x:c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13" t="n">
        <x:v>0.11</x:v>
      </x:c>
      <x:c r="B152" s="52" t="n">
        <x:f>(SUM(Forecast!$J$35/(1+$A152)^((DATE(2028,6,30)-'Sources &amp; Assumptions'!$K$98)/365),Forecast!$K$35/(1+$A152)^((DATE(2029,6,30)-'Sources &amp; Assumptions'!$K$98)/365),$C$99/(1+$A152)^((DATE(2030,6,30)-'Sources &amp; Assumptions'!$K$98)/365),$D$99/(1+$A152)^((DATE(2031,6,30)-'Sources &amp; Assumptions'!$K$98)/365),$E$99/(1+$A152)^((DATE(2032,6,30)-'Sources &amp; Assumptions'!$K$98)/365),$F$99/(1+$A152)^((DATE(2033,6,30)-'Sources &amp; Assumptions'!$K$98)/365),$G$99/(1+$A152)^((DATE(2034,6,30)-'Sources &amp; Assumptions'!$K$98)/365),$H$99/(1+$A152)^((DATE(2035,6,30)-'Sources &amp; Assumptions'!$K$98)/365),$I$99/(1+$A152)^((DATE(2036,6,30)-'Sources &amp; Assumptions'!$K$98)/365),$J$99/(1+$A152)^((DATE(2037,6,30)-'Sources &amp; Assumptions'!$K$98)/365),$K$99/(1+$A152)^((DATE(2038,6,30)-'Sources &amp; Assumptions'!$K$98)/365),$L$99/(1+$A152)^((DATE(2039,6,30)-'Sources &amp; Assumptions'!$K$98)/365),$M$99/(1+$A152)^((DATE(2040,6,30)-'Sources &amp; Assumptions'!$K$98)/365))+$N$99/($A152-B$149)/(1+$A152)^((DATE(2040,12,31)-'Sources &amp; Assumptions'!$K$98)/365)+$D$28-$D$24)/$D$26</x:f>
        <x:v>33.04573803804025</x:v>
      </x:c>
      <x:c r="C152" s="52" t="n">
        <x:f>(SUM(Forecast!$J$35/(1+$A152)^((DATE(2028,6,30)-'Sources &amp; Assumptions'!$K$98)/365),Forecast!$K$35/(1+$A152)^((DATE(2029,6,30)-'Sources &amp; Assumptions'!$K$98)/365),$C$99/(1+$A152)^((DATE(2030,6,30)-'Sources &amp; Assumptions'!$K$98)/365),$D$99/(1+$A152)^((DATE(2031,6,30)-'Sources &amp; Assumptions'!$K$98)/365),$E$99/(1+$A152)^((DATE(2032,6,30)-'Sources &amp; Assumptions'!$K$98)/365),$F$99/(1+$A152)^((DATE(2033,6,30)-'Sources &amp; Assumptions'!$K$98)/365),$G$99/(1+$A152)^((DATE(2034,6,30)-'Sources &amp; Assumptions'!$K$98)/365),$H$99/(1+$A152)^((DATE(2035,6,30)-'Sources &amp; Assumptions'!$K$98)/365),$I$99/(1+$A152)^((DATE(2036,6,30)-'Sources &amp; Assumptions'!$K$98)/365),$J$99/(1+$A152)^((DATE(2037,6,30)-'Sources &amp; Assumptions'!$K$98)/365),$K$99/(1+$A152)^((DATE(2038,6,30)-'Sources &amp; Assumptions'!$K$98)/365),$L$99/(1+$A152)^((DATE(2039,6,30)-'Sources &amp; Assumptions'!$K$98)/365),$M$99/(1+$A152)^((DATE(2040,6,30)-'Sources &amp; Assumptions'!$K$98)/365))+$N$99/($A152-C$149)/(1+$A152)^((DATE(2040,12,31)-'Sources &amp; Assumptions'!$K$98)/365)+$D$28-$D$24)/$D$26</x:f>
        <x:v>33.50054698494665</x:v>
      </x:c>
      <x:c r="D152" s="106" t="n">
        <x:f>(SUM(Forecast!$J$35/(1+$A152)^((DATE(2028,6,30)-'Sources &amp; Assumptions'!$K$98)/365),Forecast!$K$35/(1+$A152)^((DATE(2029,6,30)-'Sources &amp; Assumptions'!$K$98)/365),$C$99/(1+$A152)^((DATE(2030,6,30)-'Sources &amp; Assumptions'!$K$98)/365),$D$99/(1+$A152)^((DATE(2031,6,30)-'Sources &amp; Assumptions'!$K$98)/365),$E$99/(1+$A152)^((DATE(2032,6,30)-'Sources &amp; Assumptions'!$K$98)/365),$F$99/(1+$A152)^((DATE(2033,6,30)-'Sources &amp; Assumptions'!$K$98)/365),$G$99/(1+$A152)^((DATE(2034,6,30)-'Sources &amp; Assumptions'!$K$98)/365),$H$99/(1+$A152)^((DATE(2035,6,30)-'Sources &amp; Assumptions'!$K$98)/365),$I$99/(1+$A152)^((DATE(2036,6,30)-'Sources &amp; Assumptions'!$K$98)/365),$J$99/(1+$A152)^((DATE(2037,6,30)-'Sources &amp; Assumptions'!$K$98)/365),$K$99/(1+$A152)^((DATE(2038,6,30)-'Sources &amp; Assumptions'!$K$98)/365),$L$99/(1+$A152)^((DATE(2039,6,30)-'Sources &amp; Assumptions'!$K$98)/365),$M$99/(1+$A152)^((DATE(2040,6,30)-'Sources &amp; Assumptions'!$K$98)/365))+$N$99/($A152-D$149)/(1+$A152)^((DATE(2040,12,31)-'Sources &amp; Assumptions'!$K$98)/365)+$D$28-$D$24)/$D$26</x:f>
        <x:v>33.9837814910347</x:v>
      </x:c>
      <x:c r="E152" s="52" t="n">
        <x:f>(SUM(Forecast!$J$35/(1+$A152)^((DATE(2028,6,30)-'Sources &amp; Assumptions'!$K$98)/365),Forecast!$K$35/(1+$A152)^((DATE(2029,6,30)-'Sources &amp; Assumptions'!$K$98)/365),$C$99/(1+$A152)^((DATE(2030,6,30)-'Sources &amp; Assumptions'!$K$98)/365),$D$99/(1+$A152)^((DATE(2031,6,30)-'Sources &amp; Assumptions'!$K$98)/365),$E$99/(1+$A152)^((DATE(2032,6,30)-'Sources &amp; Assumptions'!$K$98)/365),$F$99/(1+$A152)^((DATE(2033,6,30)-'Sources &amp; Assumptions'!$K$98)/365),$G$99/(1+$A152)^((DATE(2034,6,30)-'Sources &amp; Assumptions'!$K$98)/365),$H$99/(1+$A152)^((DATE(2035,6,30)-'Sources &amp; Assumptions'!$K$98)/365),$I$99/(1+$A152)^((DATE(2036,6,30)-'Sources &amp; Assumptions'!$K$98)/365),$J$99/(1+$A152)^((DATE(2037,6,30)-'Sources &amp; Assumptions'!$K$98)/365),$K$99/(1+$A152)^((DATE(2038,6,30)-'Sources &amp; Assumptions'!$K$98)/365),$L$99/(1+$A152)^((DATE(2039,6,30)-'Sources &amp; Assumptions'!$K$98)/365),$M$99/(1+$A152)^((DATE(2040,6,30)-'Sources &amp; Assumptions'!$K$98)/365))+$N$99/($A152-E$149)/(1+$A152)^((DATE(2040,12,31)-'Sources &amp; Assumptions'!$K$98)/365)+$D$28-$D$24)/$D$26</x:f>
        <x:v>34.49819241687037</x:v>
      </x:c>
      <x:c r="F152" s="52" t="n">
        <x:f>(SUM(Forecast!$J$35/(1+$A152)^((DATE(2028,6,30)-'Sources &amp; Assumptions'!$K$98)/365),Forecast!$K$35/(1+$A152)^((DATE(2029,6,30)-'Sources &amp; Assumptions'!$K$98)/365),$C$99/(1+$A152)^((DATE(2030,6,30)-'Sources &amp; Assumptions'!$K$98)/365),$D$99/(1+$A152)^((DATE(2031,6,30)-'Sources &amp; Assumptions'!$K$98)/365),$E$99/(1+$A152)^((DATE(2032,6,30)-'Sources &amp; Assumptions'!$K$98)/365),$F$99/(1+$A152)^((DATE(2033,6,30)-'Sources &amp; Assumptions'!$K$98)/365),$G$99/(1+$A152)^((DATE(2034,6,30)-'Sources &amp; Assumptions'!$K$98)/365),$H$99/(1+$A152)^((DATE(2035,6,30)-'Sources &amp; Assumptions'!$K$98)/365),$I$99/(1+$A152)^((DATE(2036,6,30)-'Sources &amp; Assumptions'!$K$98)/365),$J$99/(1+$A152)^((DATE(2037,6,30)-'Sources &amp; Assumptions'!$K$98)/365),$K$99/(1+$A152)^((DATE(2038,6,30)-'Sources &amp; Assumptions'!$K$98)/365),$L$99/(1+$A152)^((DATE(2039,6,30)-'Sources &amp; Assumptions'!$K$98)/365),$M$99/(1+$A152)^((DATE(2040,6,30)-'Sources &amp; Assumptions'!$K$98)/365))+$N$99/($A152-F$149)/(1+$A152)^((DATE(2040,12,31)-'Sources &amp; Assumptions'!$K$98)/365)+$D$28-$D$24)/$D$26</x:f>
        <x:v>35.04689740442841</x:v>
      </x:c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13" t="n">
        <x:v>0.115</x:v>
      </x:c>
      <x:c r="B153" s="52" t="n">
        <x:f>(SUM(Forecast!$J$35/(1+$A153)^((DATE(2028,6,30)-'Sources &amp; Assumptions'!$K$98)/365),Forecast!$K$35/(1+$A153)^((DATE(2029,6,30)-'Sources &amp; Assumptions'!$K$98)/365),$C$99/(1+$A153)^((DATE(2030,6,30)-'Sources &amp; Assumptions'!$K$98)/365),$D$99/(1+$A153)^((DATE(2031,6,30)-'Sources &amp; Assumptions'!$K$98)/365),$E$99/(1+$A153)^((DATE(2032,6,30)-'Sources &amp; Assumptions'!$K$98)/365),$F$99/(1+$A153)^((DATE(2033,6,30)-'Sources &amp; Assumptions'!$K$98)/365),$G$99/(1+$A153)^((DATE(2034,6,30)-'Sources &amp; Assumptions'!$K$98)/365),$H$99/(1+$A153)^((DATE(2035,6,30)-'Sources &amp; Assumptions'!$K$98)/365),$I$99/(1+$A153)^((DATE(2036,6,30)-'Sources &amp; Assumptions'!$K$98)/365),$J$99/(1+$A153)^((DATE(2037,6,30)-'Sources &amp; Assumptions'!$K$98)/365),$K$99/(1+$A153)^((DATE(2038,6,30)-'Sources &amp; Assumptions'!$K$98)/365),$L$99/(1+$A153)^((DATE(2039,6,30)-'Sources &amp; Assumptions'!$K$98)/365),$M$99/(1+$A153)^((DATE(2040,6,30)-'Sources &amp; Assumptions'!$K$98)/365))+$N$99/($A153-B$149)/(1+$A153)^((DATE(2040,12,31)-'Sources &amp; Assumptions'!$K$98)/365)+$D$28-$D$24)/$D$26</x:f>
        <x:v>30.836030661731222</x:v>
      </x:c>
      <x:c r="C153" s="52" t="n">
        <x:f>(SUM(Forecast!$J$35/(1+$A153)^((DATE(2028,6,30)-'Sources &amp; Assumptions'!$K$98)/365),Forecast!$K$35/(1+$A153)^((DATE(2029,6,30)-'Sources &amp; Assumptions'!$K$98)/365),$C$99/(1+$A153)^((DATE(2030,6,30)-'Sources &amp; Assumptions'!$K$98)/365),$D$99/(1+$A153)^((DATE(2031,6,30)-'Sources &amp; Assumptions'!$K$98)/365),$E$99/(1+$A153)^((DATE(2032,6,30)-'Sources &amp; Assumptions'!$K$98)/365),$F$99/(1+$A153)^((DATE(2033,6,30)-'Sources &amp; Assumptions'!$K$98)/365),$G$99/(1+$A153)^((DATE(2034,6,30)-'Sources &amp; Assumptions'!$K$98)/365),$H$99/(1+$A153)^((DATE(2035,6,30)-'Sources &amp; Assumptions'!$K$98)/365),$I$99/(1+$A153)^((DATE(2036,6,30)-'Sources &amp; Assumptions'!$K$98)/365),$J$99/(1+$A153)^((DATE(2037,6,30)-'Sources &amp; Assumptions'!$K$98)/365),$K$99/(1+$A153)^((DATE(2038,6,30)-'Sources &amp; Assumptions'!$K$98)/365),$L$99/(1+$A153)^((DATE(2039,6,30)-'Sources &amp; Assumptions'!$K$98)/365),$M$99/(1+$A153)^((DATE(2040,6,30)-'Sources &amp; Assumptions'!$K$98)/365))+$N$99/($A153-C$149)/(1+$A153)^((DATE(2040,12,31)-'Sources &amp; Assumptions'!$K$98)/365)+$D$28-$D$24)/$D$26</x:f>
        <x:v>31.217403255432313</x:v>
      </x:c>
      <x:c r="D153" s="52" t="n">
        <x:f>(SUM(Forecast!$J$35/(1+$A153)^((DATE(2028,6,30)-'Sources &amp; Assumptions'!$K$98)/365),Forecast!$K$35/(1+$A153)^((DATE(2029,6,30)-'Sources &amp; Assumptions'!$K$98)/365),$C$99/(1+$A153)^((DATE(2030,6,30)-'Sources &amp; Assumptions'!$K$98)/365),$D$99/(1+$A153)^((DATE(2031,6,30)-'Sources &amp; Assumptions'!$K$98)/365),$E$99/(1+$A153)^((DATE(2032,6,30)-'Sources &amp; Assumptions'!$K$98)/365),$F$99/(1+$A153)^((DATE(2033,6,30)-'Sources &amp; Assumptions'!$K$98)/365),$G$99/(1+$A153)^((DATE(2034,6,30)-'Sources &amp; Assumptions'!$K$98)/365),$H$99/(1+$A153)^((DATE(2035,6,30)-'Sources &amp; Assumptions'!$K$98)/365),$I$99/(1+$A153)^((DATE(2036,6,30)-'Sources &amp; Assumptions'!$K$98)/365),$J$99/(1+$A153)^((DATE(2037,6,30)-'Sources &amp; Assumptions'!$K$98)/365),$K$99/(1+$A153)^((DATE(2038,6,30)-'Sources &amp; Assumptions'!$K$98)/365),$L$99/(1+$A153)^((DATE(2039,6,30)-'Sources &amp; Assumptions'!$K$98)/365),$M$99/(1+$A153)^((DATE(2040,6,30)-'Sources &amp; Assumptions'!$K$98)/365))+$N$99/($A153-D$149)/(1+$A153)^((DATE(2040,12,31)-'Sources &amp; Assumptions'!$K$98)/365)+$D$28-$D$24)/$D$26</x:f>
        <x:v>31.62120953111582</x:v>
      </x:c>
      <x:c r="E153" s="52" t="n">
        <x:f>(SUM(Forecast!$J$35/(1+$A153)^((DATE(2028,6,30)-'Sources &amp; Assumptions'!$K$98)/365),Forecast!$K$35/(1+$A153)^((DATE(2029,6,30)-'Sources &amp; Assumptions'!$K$98)/365),$C$99/(1+$A153)^((DATE(2030,6,30)-'Sources &amp; Assumptions'!$K$98)/365),$D$99/(1+$A153)^((DATE(2031,6,30)-'Sources &amp; Assumptions'!$K$98)/365),$E$99/(1+$A153)^((DATE(2032,6,30)-'Sources &amp; Assumptions'!$K$98)/365),$F$99/(1+$A153)^((DATE(2033,6,30)-'Sources &amp; Assumptions'!$K$98)/365),$G$99/(1+$A153)^((DATE(2034,6,30)-'Sources &amp; Assumptions'!$K$98)/365),$H$99/(1+$A153)^((DATE(2035,6,30)-'Sources &amp; Assumptions'!$K$98)/365),$I$99/(1+$A153)^((DATE(2036,6,30)-'Sources &amp; Assumptions'!$K$98)/365),$J$99/(1+$A153)^((DATE(2037,6,30)-'Sources &amp; Assumptions'!$K$98)/365),$K$99/(1+$A153)^((DATE(2038,6,30)-'Sources &amp; Assumptions'!$K$98)/365),$L$99/(1+$A153)^((DATE(2039,6,30)-'Sources &amp; Assumptions'!$K$98)/365),$M$99/(1+$A153)^((DATE(2040,6,30)-'Sources &amp; Assumptions'!$K$98)/365))+$N$99/($A153-E$149)/(1+$A153)^((DATE(2040,12,31)-'Sources &amp; Assumptions'!$K$98)/365)+$D$28-$D$24)/$D$26</x:f>
        <x:v>32.0494889144165</x:v>
      </x:c>
      <x:c r="F153" s="52" t="n">
        <x:f>(SUM(Forecast!$J$35/(1+$A153)^((DATE(2028,6,30)-'Sources &amp; Assumptions'!$K$98)/365),Forecast!$K$35/(1+$A153)^((DATE(2029,6,30)-'Sources &amp; Assumptions'!$K$98)/365),$C$99/(1+$A153)^((DATE(2030,6,30)-'Sources &amp; Assumptions'!$K$98)/365),$D$99/(1+$A153)^((DATE(2031,6,30)-'Sources &amp; Assumptions'!$K$98)/365),$E$99/(1+$A153)^((DATE(2032,6,30)-'Sources &amp; Assumptions'!$K$98)/365),$F$99/(1+$A153)^((DATE(2033,6,30)-'Sources &amp; Assumptions'!$K$98)/365),$G$99/(1+$A153)^((DATE(2034,6,30)-'Sources &amp; Assumptions'!$K$98)/365),$H$99/(1+$A153)^((DATE(2035,6,30)-'Sources &amp; Assumptions'!$K$98)/365),$I$99/(1+$A153)^((DATE(2036,6,30)-'Sources &amp; Assumptions'!$K$98)/365),$J$99/(1+$A153)^((DATE(2037,6,30)-'Sources &amp; Assumptions'!$K$98)/365),$K$99/(1+$A153)^((DATE(2038,6,30)-'Sources &amp; Assumptions'!$K$98)/365),$L$99/(1+$A153)^((DATE(2039,6,30)-'Sources &amp; Assumptions'!$K$98)/365),$M$99/(1+$A153)^((DATE(2040,6,30)-'Sources &amp; Assumptions'!$K$98)/365))+$N$99/($A153-F$149)/(1+$A153)^((DATE(2040,12,31)-'Sources &amp; Assumptions'!$K$98)/365)+$D$28-$D$24)/$D$26</x:f>
        <x:v>32.504535759173486</x:v>
      </x:c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13" t="n">
        <x:v>0.12</x:v>
      </x:c>
      <x:c r="B154" s="52" t="n">
        <x:f>(SUM(Forecast!$J$35/(1+$A154)^((DATE(2028,6,30)-'Sources &amp; Assumptions'!$K$98)/365),Forecast!$K$35/(1+$A154)^((DATE(2029,6,30)-'Sources &amp; Assumptions'!$K$98)/365),$C$99/(1+$A154)^((DATE(2030,6,30)-'Sources &amp; Assumptions'!$K$98)/365),$D$99/(1+$A154)^((DATE(2031,6,30)-'Sources &amp; Assumptions'!$K$98)/365),$E$99/(1+$A154)^((DATE(2032,6,30)-'Sources &amp; Assumptions'!$K$98)/365),$F$99/(1+$A154)^((DATE(2033,6,30)-'Sources &amp; Assumptions'!$K$98)/365),$G$99/(1+$A154)^((DATE(2034,6,30)-'Sources &amp; Assumptions'!$K$98)/365),$H$99/(1+$A154)^((DATE(2035,6,30)-'Sources &amp; Assumptions'!$K$98)/365),$I$99/(1+$A154)^((DATE(2036,6,30)-'Sources &amp; Assumptions'!$K$98)/365),$J$99/(1+$A154)^((DATE(2037,6,30)-'Sources &amp; Assumptions'!$K$98)/365),$K$99/(1+$A154)^((DATE(2038,6,30)-'Sources &amp; Assumptions'!$K$98)/365),$L$99/(1+$A154)^((DATE(2039,6,30)-'Sources &amp; Assumptions'!$K$98)/365),$M$99/(1+$A154)^((DATE(2040,6,30)-'Sources &amp; Assumptions'!$K$98)/365))+$N$99/($A154-B$149)/(1+$A154)^((DATE(2040,12,31)-'Sources &amp; Assumptions'!$K$98)/365)+$D$28-$D$24)/$D$26</x:f>
        <x:v>28.87403416047822</x:v>
      </x:c>
      <x:c r="C154" s="52" t="n">
        <x:f>(SUM(Forecast!$J$35/(1+$A154)^((DATE(2028,6,30)-'Sources &amp; Assumptions'!$K$98)/365),Forecast!$K$35/(1+$A154)^((DATE(2029,6,30)-'Sources &amp; Assumptions'!$K$98)/365),$C$99/(1+$A154)^((DATE(2030,6,30)-'Sources &amp; Assumptions'!$K$98)/365),$D$99/(1+$A154)^((DATE(2031,6,30)-'Sources &amp; Assumptions'!$K$98)/365),$E$99/(1+$A154)^((DATE(2032,6,30)-'Sources &amp; Assumptions'!$K$98)/365),$F$99/(1+$A154)^((DATE(2033,6,30)-'Sources &amp; Assumptions'!$K$98)/365),$G$99/(1+$A154)^((DATE(2034,6,30)-'Sources &amp; Assumptions'!$K$98)/365),$H$99/(1+$A154)^((DATE(2035,6,30)-'Sources &amp; Assumptions'!$K$98)/365),$I$99/(1+$A154)^((DATE(2036,6,30)-'Sources &amp; Assumptions'!$K$98)/365),$J$99/(1+$A154)^((DATE(2037,6,30)-'Sources &amp; Assumptions'!$K$98)/365),$K$99/(1+$A154)^((DATE(2038,6,30)-'Sources &amp; Assumptions'!$K$98)/365),$L$99/(1+$A154)^((DATE(2039,6,30)-'Sources &amp; Assumptions'!$K$98)/365),$M$99/(1+$A154)^((DATE(2040,6,30)-'Sources &amp; Assumptions'!$K$98)/365))+$N$99/($A154-C$149)/(1+$A154)^((DATE(2040,12,31)-'Sources &amp; Assumptions'!$K$98)/365)+$D$28-$D$24)/$D$26</x:f>
        <x:v>29.195955422187577</x:v>
      </x:c>
      <x:c r="D154" s="52" t="n">
        <x:f>(SUM(Forecast!$J$35/(1+$A154)^((DATE(2028,6,30)-'Sources &amp; Assumptions'!$K$98)/365),Forecast!$K$35/(1+$A154)^((DATE(2029,6,30)-'Sources &amp; Assumptions'!$K$98)/365),$C$99/(1+$A154)^((DATE(2030,6,30)-'Sources &amp; Assumptions'!$K$98)/365),$D$99/(1+$A154)^((DATE(2031,6,30)-'Sources &amp; Assumptions'!$K$98)/365),$E$99/(1+$A154)^((DATE(2032,6,30)-'Sources &amp; Assumptions'!$K$98)/365),$F$99/(1+$A154)^((DATE(2033,6,30)-'Sources &amp; Assumptions'!$K$98)/365),$G$99/(1+$A154)^((DATE(2034,6,30)-'Sources &amp; Assumptions'!$K$98)/365),$H$99/(1+$A154)^((DATE(2035,6,30)-'Sources &amp; Assumptions'!$K$98)/365),$I$99/(1+$A154)^((DATE(2036,6,30)-'Sources &amp; Assumptions'!$K$98)/365),$J$99/(1+$A154)^((DATE(2037,6,30)-'Sources &amp; Assumptions'!$K$98)/365),$K$99/(1+$A154)^((DATE(2038,6,30)-'Sources &amp; Assumptions'!$K$98)/365),$L$99/(1+$A154)^((DATE(2039,6,30)-'Sources &amp; Assumptions'!$K$98)/365),$M$99/(1+$A154)^((DATE(2040,6,30)-'Sources &amp; Assumptions'!$K$98)/365))+$N$99/($A154-D$149)/(1+$A154)^((DATE(2040,12,31)-'Sources &amp; Assumptions'!$K$98)/365)+$D$28-$D$24)/$D$26</x:f>
        <x:v>29.535761198436337</x:v>
      </x:c>
      <x:c r="E154" s="52" t="n">
        <x:f>(SUM(Forecast!$J$35/(1+$A154)^((DATE(2028,6,30)-'Sources &amp; Assumptions'!$K$98)/365),Forecast!$K$35/(1+$A154)^((DATE(2029,6,30)-'Sources &amp; Assumptions'!$K$98)/365),$C$99/(1+$A154)^((DATE(2030,6,30)-'Sources &amp; Assumptions'!$K$98)/365),$D$99/(1+$A154)^((DATE(2031,6,30)-'Sources &amp; Assumptions'!$K$98)/365),$E$99/(1+$A154)^((DATE(2032,6,30)-'Sources &amp; Assumptions'!$K$98)/365),$F$99/(1+$A154)^((DATE(2033,6,30)-'Sources &amp; Assumptions'!$K$98)/365),$G$99/(1+$A154)^((DATE(2034,6,30)-'Sources &amp; Assumptions'!$K$98)/365),$H$99/(1+$A154)^((DATE(2035,6,30)-'Sources &amp; Assumptions'!$K$98)/365),$I$99/(1+$A154)^((DATE(2036,6,30)-'Sources &amp; Assumptions'!$K$98)/365),$J$99/(1+$A154)^((DATE(2037,6,30)-'Sources &amp; Assumptions'!$K$98)/365),$K$99/(1+$A154)^((DATE(2038,6,30)-'Sources &amp; Assumptions'!$K$98)/365),$L$99/(1+$A154)^((DATE(2039,6,30)-'Sources &amp; Assumptions'!$K$98)/365),$M$99/(1+$A154)^((DATE(2040,6,30)-'Sources &amp; Assumptions'!$K$98)/365))+$N$99/($A154-E$149)/(1+$A154)^((DATE(2040,12,31)-'Sources &amp; Assumptions'!$K$98)/365)+$D$28-$D$24)/$D$26</x:f>
        <x:v>29.894984447613606</x:v>
      </x:c>
      <x:c r="F154" s="52" t="n">
        <x:f>(SUM(Forecast!$J$35/(1+$A154)^((DATE(2028,6,30)-'Sources &amp; Assumptions'!$K$98)/365),Forecast!$K$35/(1+$A154)^((DATE(2029,6,30)-'Sources &amp; Assumptions'!$K$98)/365),$C$99/(1+$A154)^((DATE(2030,6,30)-'Sources &amp; Assumptions'!$K$98)/365),$D$99/(1+$A154)^((DATE(2031,6,30)-'Sources &amp; Assumptions'!$K$98)/365),$E$99/(1+$A154)^((DATE(2032,6,30)-'Sources &amp; Assumptions'!$K$98)/365),$F$99/(1+$A154)^((DATE(2033,6,30)-'Sources &amp; Assumptions'!$K$98)/365),$G$99/(1+$A154)^((DATE(2034,6,30)-'Sources &amp; Assumptions'!$K$98)/365),$H$99/(1+$A154)^((DATE(2035,6,30)-'Sources &amp; Assumptions'!$K$98)/365),$I$99/(1+$A154)^((DATE(2036,6,30)-'Sources &amp; Assumptions'!$K$98)/365),$J$99/(1+$A154)^((DATE(2037,6,30)-'Sources &amp; Assumptions'!$K$98)/365),$K$99/(1+$A154)^((DATE(2038,6,30)-'Sources &amp; Assumptions'!$K$98)/365),$L$99/(1+$A154)^((DATE(2039,6,30)-'Sources &amp; Assumptions'!$K$98)/365),$M$99/(1+$A154)^((DATE(2040,6,30)-'Sources &amp; Assumptions'!$K$98)/365))+$N$99/($A154-F$149)/(1+$A154)^((DATE(2040,12,31)-'Sources &amp; Assumptions'!$K$98)/365)+$D$28-$D$24)/$D$26</x:f>
        <x:v>30.275338476154236</x:v>
      </x:c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6" t="str">
        <x:v>Check</x:v>
      </x:c>
      <x:c r="B156" s="16" t="str">
        <x:v>Difference</x:v>
      </x:c>
      <x:c r="C156" s="16" t="str">
        <x:v>Status</x:v>
      </x:c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7" t="str">
        <x:v>Sensitivity grid reproduces standalone Base valuation</x:v>
      </x:c>
      <x:c r="B157" s="115" t="n">
        <x:f>D152-D34</x:f>
        <x:v>0</x:v>
      </x:c>
      <x:c r="C157" s="53" t="str">
        <x:f>IF(ABS(B157)&lt;0.001,"PASS","CHECK")</x:f>
        <x:v>PASS</x:v>
      </x:c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34" customHeight="1">
      <x:c r="A158" s="1" t="str">
        <x:v>Scope</x:v>
      </x:c>
      <x:c r="B158" s="48" t="str">
        <x:v>Only WACC and perpetual growth change. The Base operating forecast, target-date net cash, common-equity claims and FY2041 terminal numerator stay fixed.</x:v>
      </x:c>
      <x:c r="C158" s="48"/>
      <x:c r="D158" s="48"/>
      <x:c r="E158" s="48"/>
      <x:c r="F158" s="48"/>
      <x:c r="G158" s="48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34" customHeight="1">
      <x:c r="A159" s="1" t="str">
        <x:v>How to read it</x:v>
      </x:c>
      <x:c r="B159" s="48" t="str">
        <x:v>This table tests valuation mechanics. Separate revenue, S&amp;M and working-capital sensitivities appear in Operating Drivers.</x:v>
      </x:c>
      <x:c r="C159" s="48"/>
      <x:c r="D159" s="48"/>
      <x:c r="E159" s="48"/>
      <x:c r="F159" s="48"/>
      <x:c r="G159" s="48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</x:sheetData>
  <x:mergeCells>
    <x:mergeCell ref="A1:Q2"/>
    <x:mergeCell ref="A3:Q3"/>
    <x:mergeCell ref="A5:F5"/>
    <x:mergeCell ref="H5:K5"/>
    <x:mergeCell ref="A13:F13"/>
    <x:mergeCell ref="A39:Q39"/>
    <x:mergeCell ref="A76:Q76"/>
    <x:mergeCell ref="A113:Q113"/>
    <x:mergeCell ref="A148:G148"/>
    <x:mergeCell ref="B158:G158"/>
    <x:mergeCell ref="B159:G159"/>
  </x:mergeCells>
  <x:conditionalFormatting sqref="B150:F15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170b425020fa44c2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38" hidden="0" customWidth="1"/>
    <x:col min="10" max="10" width="13" hidden="0" customWidth="1"/>
    <x:col min="11" max="11" width="16" hidden="0" customWidth="1"/>
    <x:col min="12" max="12" width="34" hidden="0" customWidth="1"/>
    <x:col min="13" max="13" width="3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4" hidden="0" customWidth="1"/>
  </x:cols>
  <x:sheetData>
    <x:row r="1" ht="24" customHeight="1">
      <x:c r="A1" s="4" t="str">
        <x:v>Sources and Assumptions</x:v>
      </x:c>
      <x:c r="B1" s="4" t="str">
        <x:v>Sources and Assumptions</x:v>
      </x:c>
      <x:c r="C1" s="4" t="str">
        <x:v>Sources and Assumptions</x:v>
      </x:c>
      <x:c r="D1" s="4" t="str">
        <x:v>Sources and Assumptions</x:v>
      </x:c>
      <x:c r="E1" s="4" t="str">
        <x:v>Sources and Assumptions</x:v>
      </x:c>
      <x:c r="F1" s="4" t="str">
        <x:v>Sources and Assumptions</x:v>
      </x:c>
      <x:c r="G1" s="4" t="str">
        <x:v>Sources and Assumptions</x:v>
      </x:c>
      <x:c r="H1" s="4" t="str">
        <x:v>Sources and Assumptions</x:v>
      </x:c>
      <x:c r="I1" s="4" t="str">
        <x:v>Sources and Assumptions</x:v>
      </x:c>
      <x:c r="J1" s="4" t="str">
        <x:v>Sources and Assumptions</x:v>
      </x:c>
      <x:c r="K1" s="4" t="str">
        <x:v>Sources and Assumptions</x:v>
      </x:c>
      <x:c r="L1" s="4" t="str">
        <x:v>Sources and Assumptions</x:v>
      </x:c>
      <x:c r="M1" s="4" t="str">
        <x:v>Sources and Assumptions</x:v>
      </x:c>
      <x:c r="N1" s="4" t="str">
        <x:v>Sources and Assumptions</x:v>
      </x:c>
      <x:c r="O1" s="4" t="str">
        <x:v>Sources and Assumptions</x:v>
      </x:c>
      <x:c r="P1" s="4" t="str">
        <x:v>Sources and Assumptions</x:v>
      </x:c>
      <x:c r="Q1" s="4" t="str">
        <x:v>Sources and Assumptions</x:v>
      </x:c>
      <x:c r="R1" s="4" t="str">
        <x:v>Sources and Assumptions</x:v>
      </x:c>
    </x:row>
    <x:row r="2" ht="24" customHeight="1">
      <x:c r="A2" s="4" t="str">
        <x:v>Sources and Assumptions</x:v>
      </x:c>
      <x:c r="B2" s="4" t="str">
        <x:v>Sources and Assumptions</x:v>
      </x:c>
      <x:c r="C2" s="4" t="str">
        <x:v>Sources and Assumptions</x:v>
      </x:c>
      <x:c r="D2" s="4" t="str">
        <x:v>Sources and Assumptions</x:v>
      </x:c>
      <x:c r="E2" s="4" t="str">
        <x:v>Sources and Assumptions</x:v>
      </x:c>
      <x:c r="F2" s="4" t="str">
        <x:v>Sources and Assumptions</x:v>
      </x:c>
      <x:c r="G2" s="4" t="str">
        <x:v>Sources and Assumptions</x:v>
      </x:c>
      <x:c r="H2" s="4" t="str">
        <x:v>Sources and Assumptions</x:v>
      </x:c>
      <x:c r="I2" s="4" t="str">
        <x:v>Sources and Assumptions</x:v>
      </x:c>
      <x:c r="J2" s="4" t="str">
        <x:v>Sources and Assumptions</x:v>
      </x:c>
      <x:c r="K2" s="4" t="str">
        <x:v>Sources and Assumptions</x:v>
      </x:c>
      <x:c r="L2" s="4" t="str">
        <x:v>Sources and Assumptions</x:v>
      </x:c>
      <x:c r="M2" s="4" t="str">
        <x:v>Sources and Assumptions</x:v>
      </x:c>
      <x:c r="N2" s="4" t="str">
        <x:v>Sources and Assumptions</x:v>
      </x:c>
      <x:c r="O2" s="4" t="str">
        <x:v>Sources and Assumptions</x:v>
      </x:c>
      <x:c r="P2" s="4" t="str">
        <x:v>Sources and Assumptions</x:v>
      </x:c>
      <x:c r="Q2" s="4" t="str">
        <x:v>Sources and Assumptions</x:v>
      </x:c>
      <x:c r="R2" s="4" t="str">
        <x:v>Sources and Assumptions</x:v>
      </x:c>
    </x:row>
    <x:row r="3">
      <x:c r="A3" s="8" t="str">
        <x:v>Blue-font cells are source data or approved coefficients. Reader-facing sheets contain formulas and cross-sheet links only. Forecast-period columns are aligned so formulas can be copied to the right.</x:v>
      </x:c>
      <x:c r="B3" s="8" t="str">
        <x:v>Blue-font cells are source data or approved coefficients. Reader-facing sheets contain formulas and cross-sheet links only. Forecast-period columns are aligned so formulas can be copied to the right.</x:v>
      </x:c>
      <x:c r="C3" s="8" t="str">
        <x:v>Blue-font cells are source data or approved coefficients. Reader-facing sheets contain formulas and cross-sheet links only. Forecast-period columns are aligned so formulas can be copied to the right.</x:v>
      </x:c>
      <x:c r="D3" s="8" t="str">
        <x:v>Blue-font cells are source data or approved coefficients. Reader-facing sheets contain formulas and cross-sheet links only. Forecast-period columns are aligned so formulas can be copied to the right.</x:v>
      </x:c>
      <x:c r="E3" s="8" t="str">
        <x:v>Blue-font cells are source data or approved coefficients. Reader-facing sheets contain formulas and cross-sheet links only. Forecast-period columns are aligned so formulas can be copied to the right.</x:v>
      </x:c>
      <x:c r="F3" s="8" t="str">
        <x:v>Blue-font cells are source data or approved coefficients. Reader-facing sheets contain formulas and cross-sheet links only. Forecast-period columns are aligned so formulas can be copied to the right.</x:v>
      </x:c>
      <x:c r="G3" s="8" t="str">
        <x:v>Blue-font cells are source data or approved coefficients. Reader-facing sheets contain formulas and cross-sheet links only. Forecast-period columns are aligned so formulas can be copied to the right.</x:v>
      </x:c>
      <x:c r="H3" s="8" t="str">
        <x:v>Blue-font cells are source data or approved coefficients. Reader-facing sheets contain formulas and cross-sheet links only. Forecast-period columns are aligned so formulas can be copied to the right.</x:v>
      </x:c>
      <x:c r="I3" s="8" t="str">
        <x:v>Blue-font cells are source data or approved coefficients. Reader-facing sheets contain formulas and cross-sheet links only. Forecast-period columns are aligned so formulas can be copied to the right.</x:v>
      </x:c>
      <x:c r="J3" s="8" t="str">
        <x:v>Blue-font cells are source data or approved coefficients. Reader-facing sheets contain formulas and cross-sheet links only. Forecast-period columns are aligned so formulas can be copied to the right.</x:v>
      </x:c>
      <x:c r="K3" s="8" t="str">
        <x:v>Blue-font cells are source data or approved coefficients. Reader-facing sheets contain formulas and cross-sheet links only. Forecast-period columns are aligned so formulas can be copied to the right.</x:v>
      </x:c>
      <x:c r="L3" s="8" t="str">
        <x:v>Blue-font cells are source data or approved coefficients. Reader-facing sheets contain formulas and cross-sheet links only. Forecast-period columns are aligned so formulas can be copied to the right.</x:v>
      </x:c>
      <x:c r="M3" s="8" t="str">
        <x:v>Blue-font cells are source data or approved coefficients. Reader-facing sheets contain formulas and cross-sheet links only. Forecast-period columns are aligned so formulas can be copied to the right.</x:v>
      </x:c>
      <x:c r="N3" s="8" t="str">
        <x:v>Blue-font cells are source data or approved coefficients. Reader-facing sheets contain formulas and cross-sheet links only. Forecast-period columns are aligned so formulas can be copied to the right.</x:v>
      </x:c>
      <x:c r="O3" s="8" t="str">
        <x:v>Blue-font cells are source data or approved coefficients. Reader-facing sheets contain formulas and cross-sheet links only. Forecast-period columns are aligned so formulas can be copied to the right.</x:v>
      </x:c>
      <x:c r="P3" s="8" t="str">
        <x:v>Blue-font cells are source data or approved coefficients. Reader-facing sheets contain formulas and cross-sheet links only. Forecast-period columns are aligned so formulas can be copied to the right.</x:v>
      </x:c>
      <x:c r="Q3" s="8" t="str">
        <x:v>Blue-font cells are source data or approved coefficients. Reader-facing sheets contain formulas and cross-sheet links only. Forecast-period columns are aligned so formulas can be copied to the right.</x:v>
      </x:c>
      <x:c r="R3" s="8" t="str">
        <x:v>Blue-font cells are source data or approved coefficients. Reader-facing sheets contain formulas and cross-sheet links only. Forecast-period columns are aligned so formulas can be copied to the right.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0" customHeight="1">
      <x:c r="A5" s="11" t="str">
        <x:v>Workbook structure</x:v>
      </x:c>
      <x:c r="B5" s="11" t="str">
        <x:v>Workbook structure</x:v>
      </x:c>
      <x:c r="C5" s="11" t="str">
        <x:v>Workbook structure</x:v>
      </x:c>
      <x:c r="D5" s="11" t="str">
        <x:v>Workbook structure</x:v>
      </x:c>
      <x:c r="E5" s="11" t="str">
        <x:v>Workbook structure</x:v>
      </x:c>
      <x:c r="F5" s="11" t="str">
        <x:v>Workbook structure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6" t="str">
        <x:v>Order</x:v>
      </x:c>
      <x:c r="B6" s="16" t="str">
        <x:v>Sheet</x:v>
      </x:c>
      <x:c r="C6" s="16" t="str">
        <x:v>Role</x:v>
      </x:c>
      <x:c r="D6" s="16" t="str">
        <x:v>Formula flow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7" t="n">
        <x:v>1</x:v>
      </x:c>
      <x:c r="B7" s="17" t="str">
        <x:v>Summary</x:v>
      </x:c>
      <x:c r="C7" s="17" t="str">
        <x:v>Rating and headline outputs</x:v>
      </x:c>
      <x:c r="D7" s="17" t="str">
        <x:v>Links to Forecast and Valuation Model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7" t="n">
        <x:v>2</x:v>
      </x:c>
      <x:c r="B8" s="17" t="str">
        <x:v>Forecast</x:v>
      </x:c>
      <x:c r="C8" s="17" t="str">
        <x:v>Historical P&amp;L, Base forecast and FCFF</x:v>
      </x:c>
      <x:c r="D8" s="17" t="str">
        <x:v>Source data + coefficients → forecast formulas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7" t="n">
        <x:v>3</x:v>
      </x:c>
      <x:c r="B9" s="17" t="str">
        <x:v>Operating Drivers</x:v>
      </x:c>
      <x:c r="C9" s="17" t="str">
        <x:v>Margin and cash-flow diagnostics</x:v>
      </x:c>
      <x:c r="D9" s="17" t="str">
        <x:v>Links to Forecast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7" t="n">
        <x:v>4</x:v>
      </x:c>
      <x:c r="B10" s="17" t="str">
        <x:v>Valuation Model</x:v>
      </x:c>
      <x:c r="C10" s="17" t="str">
        <x:v>Scenario DCF and 12-month target</x:v>
      </x:c>
      <x:c r="D10" s="17" t="str">
        <x:v>Scenario inputs → operating transition → FCFF → value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7" t="n">
        <x:v>5</x:v>
      </x:c>
      <x:c r="B11" s="17" t="str">
        <x:v>Sources &amp; Assumptions</x:v>
      </x:c>
      <x:c r="C11" s="17" t="str">
        <x:v>Filed history, schedule outputs, coefficients and citations</x:v>
      </x:c>
      <x:c r="D11" s="17" t="str">
        <x:v>Only input layer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0" customHeight="1">
      <x:c r="A14" s="11" t="str">
        <x:v>Historical source data</x:v>
      </x:c>
      <x:c r="B14" s="11" t="str">
        <x:v>Historical source data</x:v>
      </x:c>
      <x:c r="C14" s="11" t="str">
        <x:v>Historical source data</x:v>
      </x:c>
      <x:c r="D14" s="11" t="str">
        <x:v>Historical source data</x:v>
      </x:c>
      <x:c r="E14" s="11" t="str">
        <x:v>Historical source data</x:v>
      </x:c>
      <x:c r="F14" s="11" t="str">
        <x:v>Historical source data</x:v>
      </x:c>
      <x:c r="G14" s="11" t="str">
        <x:v>Historical source data</x:v>
      </x:c>
      <x:c r="H14" s="11" t="str">
        <x:v>Historical source data</x:v>
      </x:c>
      <x:c r="I14" s="11" t="str">
        <x:v>Historical source data</x:v>
      </x:c>
      <x:c r="J14" s="11" t="str">
        <x:v>Historical source data</x:v>
      </x:c>
      <x:c r="K14" s="1"/>
      <x:c r="L14" s="1"/>
      <x:c r="M14" s="1"/>
      <x:c r="N14" s="1"/>
      <x:c r="O14" s="1"/>
      <x:c r="P14" s="1"/>
      <x:c r="Q14" s="1"/>
      <x:c r="R14" s="1"/>
    </x:row>
    <x:row r="15">
      <x:c r="A15" s="16" t="str">
        <x:v>Line item</x:v>
      </x:c>
      <x:c r="B15" s="16" t="str">
        <x:v>Unit</x:v>
      </x:c>
      <x:c r="C15" s="16" t="str">
        <x:v>FY2019A</x:v>
      </x:c>
      <x:c r="D15" s="16" t="str">
        <x:v>FY2020A</x:v>
      </x:c>
      <x:c r="E15" s="16" t="str">
        <x:v>FY2021A</x:v>
      </x:c>
      <x:c r="F15" s="16" t="str">
        <x:v>FY2022A</x:v>
      </x:c>
      <x:c r="G15" s="16" t="str">
        <x:v>FY2023A</x:v>
      </x:c>
      <x:c r="H15" s="16" t="str">
        <x:v>FY2024A</x:v>
      </x:c>
      <x:c r="I15" s="16" t="str">
        <x:v>FY2025A</x:v>
      </x:c>
      <x:c r="J15" s="16" t="str">
        <x:v>Source / classification</x:v>
      </x:c>
      <x:c r="K15" s="1"/>
      <x:c r="L15" s="1"/>
      <x:c r="M15" s="1"/>
      <x:c r="N15" s="1"/>
      <x:c r="O15" s="1"/>
      <x:c r="P15" s="1"/>
      <x:c r="Q15" s="1"/>
      <x:c r="R15" s="1"/>
    </x:row>
    <x:row r="16">
      <x:c r="A16" s="17" t="str">
        <x:v>Revenue</x:v>
      </x:c>
      <x:c r="B16" s="17" t="str">
        <x:v>$m</x:v>
      </x:c>
      <x:c r="C16" s="25" t="n">
        <x:v>306.051</x:v>
      </x:c>
      <x:c r="D16" s="25" t="n">
        <x:v>368.12</x:v>
      </x:c>
      <x:c r="E16" s="25" t="n">
        <x:v>458.338</x:v>
      </x:c>
      <x:c r="F16" s="25" t="n">
        <x:v>590.961</x:v>
      </x:c>
      <x:c r="G16" s="25" t="n">
        <x:v>728.723</x:v>
      </x:c>
      <x:c r="H16" s="25" t="n">
        <x:v>1005.754</x:v>
      </x:c>
      <x:c r="I16" s="25" t="n">
        <x:v>1304.668</x:v>
      </x:c>
      <x:c r="J16" s="17" t="str">
        <x:v>Filed GAAP</x:v>
      </x:c>
      <x:c r="K16" s="1"/>
      <x:c r="L16" s="1"/>
      <x:c r="M16" s="1"/>
      <x:c r="N16" s="1"/>
      <x:c r="O16" s="1"/>
      <x:c r="P16" s="1"/>
      <x:c r="Q16" s="1"/>
      <x:c r="R16" s="1"/>
    </x:row>
    <x:row r="17">
      <x:c r="A17" s="17" t="str">
        <x:v>Cost of revenue, excluding D&amp;A</x:v>
      </x:c>
      <x:c r="B17" s="17" t="str">
        <x:v>$m</x:v>
      </x:c>
      <x:c r="C17" s="25" t="n">
        <x:v>110.385</x:v>
      </x:c>
      <x:c r="D17" s="25" t="n">
        <x:v>148.878</x:v>
      </x:c>
      <x:c r="E17" s="25" t="n">
        <x:v>174.72</x:v>
      </x:c>
      <x:c r="F17" s="25" t="n">
        <x:v>215.466</x:v>
      </x:c>
      <x:c r="G17" s="25" t="n">
        <x:v>274.482</x:v>
      </x:c>
      <x:c r="H17" s="25" t="n">
        <x:v>399.552</x:v>
      </x:c>
      <x:c r="I17" s="25" t="n">
        <x:v>513.587</x:v>
      </x:c>
      <x:c r="J17" s="17" t="str">
        <x:v>Filed GAAP</x:v>
      </x:c>
      <x:c r="K17" s="1"/>
      <x:c r="L17" s="1"/>
      <x:c r="M17" s="1"/>
      <x:c r="N17" s="1"/>
      <x:c r="O17" s="1"/>
      <x:c r="P17" s="1"/>
      <x:c r="Q17" s="1"/>
      <x:c r="R17" s="1"/>
    </x:row>
    <x:row r="18">
      <x:c r="A18" s="17" t="str">
        <x:v>Gross profit, excluding D&amp;A</x:v>
      </x:c>
      <x:c r="B18" s="17" t="str">
        <x:v>$m</x:v>
      </x:c>
      <x:c r="C18" s="25" t="n">
        <x:v>195.666</x:v>
      </x:c>
      <x:c r="D18" s="25" t="n">
        <x:v>219.242</x:v>
      </x:c>
      <x:c r="E18" s="25" t="n">
        <x:v>283.618</x:v>
      </x:c>
      <x:c r="F18" s="25" t="n">
        <x:v>375.495</x:v>
      </x:c>
      <x:c r="G18" s="25" t="n">
        <x:v>454.241</x:v>
      </x:c>
      <x:c r="H18" s="25" t="n">
        <x:v>606.202</x:v>
      </x:c>
      <x:c r="I18" s="25" t="n">
        <x:v>791.081</x:v>
      </x:c>
      <x:c r="J18" s="17" t="str">
        <x:v>Calculated from filed lines</x:v>
      </x:c>
      <x:c r="K18" s="1"/>
      <x:c r="L18" s="1"/>
      <x:c r="M18" s="1"/>
      <x:c r="N18" s="1"/>
      <x:c r="O18" s="1"/>
      <x:c r="P18" s="1"/>
      <x:c r="Q18" s="1"/>
      <x:c r="R18" s="1"/>
    </x:row>
    <x:row r="19">
      <x:c r="A19" s="17" t="str">
        <x:v>Sales &amp; marketing</x:v>
      </x:c>
      <x:c r="B19" s="17" t="str">
        <x:v>$m</x:v>
      </x:c>
      <x:c r="C19" s="25" t="n">
        <x:v>69.519</x:v>
      </x:c>
      <x:c r="D19" s="25" t="n">
        <x:v>77.14</x:v>
      </x:c>
      <x:c r="E19" s="25" t="n">
        <x:v>229.343</x:v>
      </x:c>
      <x:c r="F19" s="25" t="n">
        <x:v>299.238</x:v>
      </x:c>
      <x:c r="G19" s="25" t="n">
        <x:v>288.441</x:v>
      </x:c>
      <x:c r="H19" s="25" t="n">
        <x:v>314.514</x:v>
      </x:c>
      <x:c r="I19" s="25" t="n">
        <x:v>340.04</x:v>
      </x:c>
      <x:c r="J19" s="17" t="str">
        <x:v>Filed operating expense</x:v>
      </x:c>
      <x:c r="K19" s="1"/>
      <x:c r="L19" s="1"/>
      <x:c r="M19" s="1"/>
      <x:c r="N19" s="1"/>
      <x:c r="O19" s="1"/>
      <x:c r="P19" s="1"/>
      <x:c r="Q19" s="1"/>
      <x:c r="R19" s="1"/>
    </x:row>
    <x:row r="20">
      <x:c r="A20" s="17" t="str">
        <x:v>R&amp;D</x:v>
      </x:c>
      <x:c r="B20" s="17" t="str">
        <x:v>$m</x:v>
      </x:c>
      <x:c r="C20" s="25" t="n">
        <x:v>28.685</x:v>
      </x:c>
      <x:c r="D20" s="25" t="n">
        <x:v>31.772</x:v>
      </x:c>
      <x:c r="E20" s="25" t="n">
        <x:v>64.474</x:v>
      </x:c>
      <x:c r="F20" s="25" t="n">
        <x:v>69.454</x:v>
      </x:c>
      <x:c r="G20" s="25" t="n">
        <x:v>73.869</x:v>
      </x:c>
      <x:c r="H20" s="25" t="n">
        <x:v>90.679</x:v>
      </x:c>
      <x:c r="I20" s="25" t="n">
        <x:v>117.173</x:v>
      </x:c>
      <x:c r="J20" s="17" t="str">
        <x:v>Filed operating expense</x:v>
      </x:c>
      <x:c r="K20" s="1"/>
      <x:c r="L20" s="1"/>
      <x:c r="M20" s="1"/>
      <x:c r="N20" s="1"/>
      <x:c r="O20" s="1"/>
      <x:c r="P20" s="1"/>
      <x:c r="Q20" s="1"/>
      <x:c r="R20" s="1"/>
    </x:row>
    <x:row r="21">
      <x:c r="A21" s="17" t="str">
        <x:v>G&amp;A</x:v>
      </x:c>
      <x:c r="B21" s="17" t="str">
        <x:v>$m</x:v>
      </x:c>
      <x:c r="C21" s="25" t="n">
        <x:v>73.344</x:v>
      </x:c>
      <x:c r="D21" s="25" t="n">
        <x:v>70.849</x:v>
      </x:c>
      <x:c r="E21" s="25" t="n">
        <x:v>189.606</x:v>
      </x:c>
      <x:c r="F21" s="25" t="n">
        <x:v>213.615</x:v>
      </x:c>
      <x:c r="G21" s="25" t="n">
        <x:v>205.419</x:v>
      </x:c>
      <x:c r="H21" s="25" t="n">
        <x:v>204.595</x:v>
      </x:c>
      <x:c r="I21" s="25" t="n">
        <x:v>233.024</x:v>
      </x:c>
      <x:c r="J21" s="17" t="str">
        <x:v>Filed operating expense</x:v>
      </x:c>
      <x:c r="K21" s="1"/>
      <x:c r="L21" s="1"/>
      <x:c r="M21" s="1"/>
      <x:c r="N21" s="1"/>
      <x:c r="O21" s="1"/>
      <x:c r="P21" s="1"/>
      <x:c r="Q21" s="1"/>
      <x:c r="R21" s="1"/>
    </x:row>
    <x:row r="22">
      <x:c r="A22" s="17" t="str">
        <x:v>Acquisition-related expense</x:v>
      </x:c>
      <x:c r="B22" s="17" t="str">
        <x:v>$m</x:v>
      </x:c>
      <x:c r="C22" s="25" t="n">
        <x:v>5.916</x:v>
      </x:c>
      <x:c r="D22" s="25" t="n">
        <x:v>5.402</x:v>
      </x:c>
      <x:c r="E22" s="25" t="n">
        <x:v>1.953</x:v>
      </x:c>
      <x:c r="F22" s="25" t="n">
        <x:v>0.344</x:v>
      </x:c>
      <x:c r="G22" s="25" t="n">
        <x:v>0.203</x:v>
      </x:c>
      <x:c r="H22" s="25" t="n">
        <x:v>8.229</x:v>
      </x:c>
      <x:c r="I22" s="25" t="n">
        <x:v>20.281</x:v>
      </x:c>
      <x:c r="J22" s="17" t="str">
        <x:v>Filed operating expense</x:v>
      </x:c>
      <x:c r="K22" s="1"/>
      <x:c r="L22" s="1"/>
      <x:c r="M22" s="1"/>
      <x:c r="N22" s="1"/>
      <x:c r="O22" s="1"/>
      <x:c r="P22" s="1"/>
      <x:c r="Q22" s="1"/>
      <x:c r="R22" s="1"/>
    </x:row>
    <x:row r="23">
      <x:c r="A23" s="17" t="str">
        <x:v>Restructuring expense</x:v>
      </x:c>
      <x:c r="B23" s="17" t="str">
        <x:v>$m</x:v>
      </x:c>
      <x:c r="C23" s="25" t="n">
        <x:v>1.388</x:v>
      </x:c>
      <x:c r="D23" s="25" t="n">
        <x:v>2.09</x:v>
      </x:c>
      <x:c r="E23" s="25" t="n">
        <x:v>0.727</x:v>
      </x:c>
      <x:c r="F23" s="25"/>
      <x:c r="G23" s="25" t="n">
        <x:v>2.845</x:v>
      </x:c>
      <x:c r="H23" s="25" t="n">
        <x:v>0</x:v>
      </x:c>
      <x:c r="I23" s="25" t="n">
        <x:v>3.152</x:v>
      </x:c>
      <x:c r="J23" s="17" t="str">
        <x:v>Filed operating expense</x:v>
      </x:c>
      <x:c r="K23" s="1"/>
      <x:c r="L23" s="1"/>
      <x:c r="M23" s="1"/>
      <x:c r="N23" s="1"/>
      <x:c r="O23" s="1"/>
      <x:c r="P23" s="1"/>
      <x:c r="Q23" s="1"/>
      <x:c r="R23" s="1"/>
    </x:row>
    <x:row r="24">
      <x:c r="A24" s="17" t="str">
        <x:v>Pre-D&amp;A operating profit</x:v>
      </x:c>
      <x:c r="B24" s="17" t="str">
        <x:v>$m</x:v>
      </x:c>
      <x:c r="C24" s="25" t="n">
        <x:v>16.813999999999993</x:v>
      </x:c>
      <x:c r="D24" s="25" t="n">
        <x:v>31.988999999999976</x:v>
      </x:c>
      <x:c r="E24" s="25" t="n">
        <x:v>-202.48499999999996</x:v>
      </x:c>
      <x:c r="F24" s="25" t="n">
        <x:v>-207.15600000000006</x:v>
      </x:c>
      <x:c r="G24" s="25" t="n">
        <x:v>-116.53599999999994</x:v>
      </x:c>
      <x:c r="H24" s="25" t="n">
        <x:v>-11.815000000000055</x:v>
      </x:c>
      <x:c r="I24" s="25" t="n">
        <x:v>77.41099999999994</x:v>
      </x:c>
      <x:c r="J24" s="17" t="str">
        <x:v>Research classification</x:v>
      </x:c>
      <x:c r="K24" s="1"/>
      <x:c r="L24" s="1"/>
      <x:c r="M24" s="1"/>
      <x:c r="N24" s="1"/>
      <x:c r="O24" s="1"/>
      <x:c r="P24" s="1"/>
      <x:c r="Q24" s="1"/>
      <x:c r="R24" s="1"/>
    </x:row>
    <x:row r="25">
      <x:c r="A25" s="17" t="str">
        <x:v>D&amp;A</x:v>
      </x:c>
      <x:c r="B25" s="17" t="str">
        <x:v>$m</x:v>
      </x:c>
      <x:c r="C25" s="25" t="n">
        <x:v>34.34</x:v>
      </x:c>
      <x:c r="D25" s="25" t="n">
        <x:v>40.064</x:v>
      </x:c>
      <x:c r="E25" s="25" t="n">
        <x:v>45.922</x:v>
      </x:c>
      <x:c r="F25" s="25" t="n">
        <x:v>51.878</x:v>
      </x:c>
      <x:c r="G25" s="25" t="n">
        <x:v>51.149</x:v>
      </x:c>
      <x:c r="H25" s="25" t="n">
        <x:v>56.1</x:v>
      </x:c>
      <x:c r="I25" s="25" t="n">
        <x:v>72.039</x:v>
      </x:c>
      <x:c r="J25" s="17" t="str">
        <x:v>Filed / reconstructed schedule</x:v>
      </x:c>
      <x:c r="K25" s="1"/>
      <x:c r="L25" s="1"/>
      <x:c r="M25" s="1"/>
      <x:c r="N25" s="1"/>
      <x:c r="O25" s="1"/>
      <x:c r="P25" s="1"/>
      <x:c r="Q25" s="1"/>
      <x:c r="R25" s="1"/>
    </x:row>
    <x:row r="26">
      <x:c r="A26" s="17" t="str">
        <x:v>Reported EBIT</x:v>
      </x:c>
      <x:c r="B26" s="17" t="str">
        <x:v>$m</x:v>
      </x:c>
      <x:c r="C26" s="25" t="n">
        <x:v>-17.526</x:v>
      </x:c>
      <x:c r="D26" s="25" t="n">
        <x:v>-8.075</x:v>
      </x:c>
      <x:c r="E26" s="25" t="n">
        <x:v>-248.407</x:v>
      </x:c>
      <x:c r="F26" s="25" t="n">
        <x:v>-259.034</x:v>
      </x:c>
      <x:c r="G26" s="25" t="n">
        <x:v>-167.685</x:v>
      </x:c>
      <x:c r="H26" s="25" t="n">
        <x:v>-67.915</x:v>
      </x:c>
      <x:c r="I26" s="25" t="n">
        <x:v>5.372</x:v>
      </x:c>
      <x:c r="J26" s="17" t="str">
        <x:v>Filed GAAP</x:v>
      </x:c>
      <x:c r="K26" s="1"/>
      <x:c r="L26" s="1"/>
      <x:c r="M26" s="1"/>
      <x:c r="N26" s="1"/>
      <x:c r="O26" s="1"/>
      <x:c r="P26" s="1"/>
      <x:c r="Q26" s="1"/>
      <x:c r="R26" s="1"/>
    </x:row>
    <x:row r="27">
      <x:c r="A27" s="17" t="str">
        <x:v>Acquisition-expense adjustment</x:v>
      </x:c>
      <x:c r="B27" s="17" t="str">
        <x:v>$m</x:v>
      </x:c>
      <x:c r="C27" s="25"/>
      <x:c r="D27" s="25"/>
      <x:c r="E27" s="25"/>
      <x:c r="F27" s="25"/>
      <x:c r="G27" s="25"/>
      <x:c r="H27" s="25"/>
      <x:c r="I27" s="25"/>
      <x:c r="J27" s="17" t="str">
        <x:v>Approved research adjustment</x:v>
      </x:c>
      <x:c r="K27" s="1"/>
      <x:c r="L27" s="1"/>
      <x:c r="M27" s="1"/>
      <x:c r="N27" s="1"/>
      <x:c r="O27" s="1"/>
      <x:c r="P27" s="1"/>
      <x:c r="Q27" s="1"/>
      <x:c r="R27" s="1"/>
    </x:row>
    <x:row r="28">
      <x:c r="A28" s="17" t="str">
        <x:v>Acquisition-amortisation adjustment</x:v>
      </x:c>
      <x:c r="B28" s="17" t="str">
        <x:v>$m</x:v>
      </x:c>
      <x:c r="C28" s="25" t="n">
        <x:v>11.798</x:v>
      </x:c>
      <x:c r="D28" s="25" t="n">
        <x:v>15.572</x:v>
      </x:c>
      <x:c r="E28" s="25" t="n">
        <x:v>18.063</x:v>
      </x:c>
      <x:c r="F28" s="25" t="n">
        <x:v>17.602</x:v>
      </x:c>
      <x:c r="G28" s="25" t="n">
        <x:v>11.134</x:v>
      </x:c>
      <x:c r="H28" s="25" t="n">
        <x:v>13.287</x:v>
      </x:c>
      <x:c r="I28" s="25" t="n">
        <x:v>31.418</x:v>
      </x:c>
      <x:c r="J28" s="17" t="str">
        <x:v>Approved research adjustment</x:v>
      </x:c>
      <x:c r="K28" s="1"/>
      <x:c r="L28" s="1"/>
      <x:c r="M28" s="1"/>
      <x:c r="N28" s="1"/>
      <x:c r="O28" s="1"/>
      <x:c r="P28" s="1"/>
      <x:c r="Q28" s="1"/>
      <x:c r="R28" s="1"/>
    </x:row>
    <x:row r="29">
      <x:c r="A29" s="17" t="str">
        <x:v>ETR on EBIT</x:v>
      </x:c>
      <x:c r="B29" s="17" t="str">
        <x:v>%</x:v>
      </x:c>
      <x:c r="C29" s="26"/>
      <x:c r="D29" s="26"/>
      <x:c r="E29" s="26"/>
      <x:c r="F29" s="26"/>
      <x:c r="G29" s="26"/>
      <x:c r="H29" s="26"/>
      <x:c r="I29" s="26"/>
      <x:c r="J29" s="17" t="str">
        <x:v>Stage 05 tax schedule</x:v>
      </x:c>
      <x:c r="K29" s="1"/>
      <x:c r="L29" s="1"/>
      <x:c r="M29" s="1"/>
      <x:c r="N29" s="1"/>
      <x:c r="O29" s="1"/>
      <x:c r="P29" s="1"/>
      <x:c r="Q29" s="1"/>
      <x:c r="R29" s="1"/>
    </x:row>
    <x:row r="30">
      <x:c r="A30" s="17" t="str">
        <x:v>NOPAT</x:v>
      </x:c>
      <x:c r="B30" s="17" t="str">
        <x:v>$m</x:v>
      </x:c>
      <x:c r="C30" s="25"/>
      <x:c r="D30" s="25"/>
      <x:c r="E30" s="25"/>
      <x:c r="F30" s="25"/>
      <x:c r="G30" s="25"/>
      <x:c r="H30" s="25"/>
      <x:c r="I30" s="25"/>
      <x:c r="J30" s="17" t="str">
        <x:v>Stage 05 FCFF build</x:v>
      </x:c>
      <x:c r="K30" s="1"/>
      <x:c r="L30" s="1"/>
      <x:c r="M30" s="1"/>
      <x:c r="N30" s="1"/>
      <x:c r="O30" s="1"/>
      <x:c r="P30" s="1"/>
      <x:c r="Q30" s="1"/>
      <x:c r="R30" s="1"/>
    </x:row>
    <x:row r="31">
      <x:c r="A31" s="17" t="str">
        <x:v>Operating fixed investment</x:v>
      </x:c>
      <x:c r="B31" s="17" t="str">
        <x:v>$m</x:v>
      </x:c>
      <x:c r="C31" s="25" t="n">
        <x:v>22.674</x:v>
      </x:c>
      <x:c r="D31" s="25" t="n">
        <x:v>25.207</x:v>
      </x:c>
      <x:c r="E31" s="25" t="n">
        <x:v>26.756</x:v>
      </x:c>
      <x:c r="F31" s="25" t="n">
        <x:v>39.236</x:v>
      </x:c>
      <x:c r="G31" s="25" t="n">
        <x:v>35.97</x:v>
      </x:c>
      <x:c r="H31" s="25" t="n">
        <x:v>41.767</x:v>
      </x:c>
      <x:c r="I31" s="25" t="n">
        <x:v>33.908</x:v>
      </x:c>
      <x:c r="J31" s="17" t="str">
        <x:v>Cash investment classification</x:v>
      </x:c>
      <x:c r="K31" s="1"/>
      <x:c r="L31" s="1"/>
      <x:c r="M31" s="1"/>
      <x:c r="N31" s="1"/>
      <x:c r="O31" s="1"/>
      <x:c r="P31" s="1"/>
      <x:c r="Q31" s="1"/>
      <x:c r="R31" s="1"/>
    </x:row>
    <x:row r="32">
      <x:c r="A32" s="17" t="str">
        <x:v>Investment in working capital</x:v>
      </x:c>
      <x:c r="B32" s="17" t="str">
        <x:v>$m</x:v>
      </x:c>
      <x:c r="C32" s="25" t="n">
        <x:v>-25.595</x:v>
      </x:c>
      <x:c r="D32" s="25" t="n">
        <x:v>-15.782000000000004</x:v>
      </x:c>
      <x:c r="E32" s="25" t="n">
        <x:v>3.308999999999998</x:v>
      </x:c>
      <x:c r="F32" s="25" t="n">
        <x:v>1.3449999999999998</x:v>
      </x:c>
      <x:c r="G32" s="25" t="n">
        <x:v>23.236000000000008</x:v>
      </x:c>
      <x:c r="H32" s="25" t="n">
        <x:v>37.742999999999995</x:v>
      </x:c>
      <x:c r="I32" s="25" t="n">
        <x:v>53.836999999999996</x:v>
      </x:c>
      <x:c r="J32" s="17" t="str">
        <x:v>Operating WC schedule</x:v>
      </x:c>
      <x:c r="K32" s="1"/>
      <x:c r="L32" s="1"/>
      <x:c r="M32" s="1"/>
      <x:c r="N32" s="1"/>
      <x:c r="O32" s="1"/>
      <x:c r="P32" s="1"/>
      <x:c r="Q32" s="1"/>
      <x:c r="R32" s="1"/>
    </x:row>
    <x:row r="33">
      <x:c r="A33" s="17" t="str">
        <x:v>FCFF</x:v>
      </x:c>
      <x:c r="B33" s="17" t="str">
        <x:v>$m</x:v>
      </x:c>
      <x:c r="C33" s="25"/>
      <x:c r="D33" s="25"/>
      <x:c r="E33" s="25"/>
      <x:c r="F33" s="25"/>
      <x:c r="G33" s="25"/>
      <x:c r="H33" s="25"/>
      <x:c r="I33" s="25"/>
      <x:c r="J33" s="17" t="str">
        <x:v>Stage 05 FCFF build</x:v>
      </x:c>
      <x:c r="K33" s="1"/>
      <x:c r="L33" s="1"/>
      <x:c r="M33" s="1"/>
      <x:c r="N33" s="1"/>
      <x:c r="O33" s="1"/>
      <x:c r="P33" s="1"/>
      <x:c r="Q33" s="1"/>
      <x:c r="R33" s="1"/>
    </x:row>
    <x:row r="34">
      <x:c r="A34" s="17" t="str">
        <x:v>SBC accounting expense</x:v>
      </x:c>
      <x:c r="B34" s="17" t="str">
        <x:v>$m</x:v>
      </x:c>
      <x:c r="C34" s="25" t="n">
        <x:v>0.216</x:v>
      </x:c>
      <x:c r="D34" s="25" t="n">
        <x:v>0.105</x:v>
      </x:c>
      <x:c r="E34" s="25" t="n">
        <x:v>259.159</x:v>
      </x:c>
      <x:c r="F34" s="25" t="n">
        <x:v>298.992</x:v>
      </x:c>
      <x:c r="G34" s="25" t="n">
        <x:v>242.881</x:v>
      </x:c>
      <x:c r="H34" s="25" t="n">
        <x:v>194.984</x:v>
      </x:c>
      <x:c r="I34" s="25" t="n">
        <x:v>177.821</x:v>
      </x:c>
      <x:c r="J34" s="17" t="str">
        <x:v>Filed / award schedule</x:v>
      </x:c>
      <x:c r="K34" s="1"/>
      <x:c r="L34" s="1"/>
      <x:c r="M34" s="1"/>
      <x:c r="N34" s="1"/>
      <x:c r="O34" s="1"/>
      <x:c r="P34" s="1"/>
      <x:c r="Q34" s="1"/>
      <x:c r="R34" s="1"/>
    </x:row>
    <x:row r="35">
      <x:c r="A35" s="17" t="str">
        <x:v>Weighted-average diluted shares</x:v>
      </x:c>
      <x:c r="B35" s="17" t="str">
        <x:v>m shares</x:v>
      </x:c>
      <x:c r="C35" s="27" t="n">
        <x:v>31.579301</x:v>
      </x:c>
      <x:c r="D35" s="27" t="n">
        <x:v>32.589409</x:v>
      </x:c>
      <x:c r="E35" s="27" t="n">
        <x:v>86.932191</x:v>
      </x:c>
      <x:c r="F35" s="27" t="n">
        <x:v>138.985265</x:v>
      </x:c>
      <x:c r="G35" s="27" t="n">
        <x:v>156.697308</x:v>
      </x:c>
      <x:c r="H35" s="27" t="n">
        <x:v>185.984107</x:v>
      </x:c>
      <x:c r="I35" s="27" t="n">
        <x:v>220.722814</x:v>
      </x:c>
      <x:c r="J35" s="17" t="str">
        <x:v>Filed EPS denominator</x:v>
      </x:c>
      <x:c r="K35" s="1"/>
      <x:c r="L35" s="1"/>
      <x:c r="M35" s="1"/>
      <x:c r="N35" s="1"/>
      <x:c r="O35" s="1"/>
      <x:c r="P35" s="1"/>
      <x:c r="Q35" s="1"/>
      <x:c r="R35" s="1"/>
    </x:row>
    <x:row r="36">
      <x:c r="A36" s="17" t="str">
        <x:v>Diluted EPS</x:v>
      </x:c>
      <x:c r="B36" s="17" t="str">
        <x:v>$/share</x:v>
      </x:c>
      <x:c r="C36" s="28" t="n">
        <x:v>-1.77</x:v>
      </x:c>
      <x:c r="D36" s="28" t="n">
        <x:v>-2.23</x:v>
      </x:c>
      <x:c r="E36" s="28" t="n">
        <x:v>-2.95</x:v>
      </x:c>
      <x:c r="F36" s="28" t="n">
        <x:v>-2.01</x:v>
      </x:c>
      <x:c r="G36" s="28" t="n">
        <x:v>-1.2</x:v>
      </x:c>
      <x:c r="H36" s="28" t="n">
        <x:v>-0.38</x:v>
      </x:c>
      <x:c r="I36" s="28" t="n">
        <x:v>-0.14</x:v>
      </x:c>
      <x:c r="J36" s="17" t="str">
        <x:v>Filed GAAP</x:v>
      </x:c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0" customHeight="1">
      <x:c r="A39" s="11" t="str">
        <x:v>Historical diagnostics</x:v>
      </x:c>
      <x:c r="B39" s="11" t="str">
        <x:v>Historical diagnostics</x:v>
      </x:c>
      <x:c r="C39" s="11" t="str">
        <x:v>Historical diagnostics</x:v>
      </x:c>
      <x:c r="D39" s="11" t="str">
        <x:v>Historical diagnostics</x:v>
      </x:c>
      <x:c r="E39" s="11" t="str">
        <x:v>Historical diagnostics</x:v>
      </x:c>
      <x:c r="F39" s="11" t="str">
        <x:v>Historical diagnostics</x:v>
      </x:c>
      <x:c r="G39" s="11" t="str">
        <x:v>Historical diagnostics</x:v>
      </x:c>
      <x:c r="H39" s="11" t="str">
        <x:v>Historical diagnostics</x:v>
      </x:c>
      <x:c r="I39" s="11" t="str">
        <x:v>Historical diagnostics</x:v>
      </x:c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6" t="str">
        <x:v>Diagnostic</x:v>
      </x:c>
      <x:c r="B40" s="16" t="str">
        <x:v>FY2020A</x:v>
      </x:c>
      <x:c r="C40" s="16" t="str">
        <x:v>FY2021A</x:v>
      </x:c>
      <x:c r="D40" s="16" t="str">
        <x:v>FY2022A</x:v>
      </x:c>
      <x:c r="E40" s="16" t="str">
        <x:v>FY2023A</x:v>
      </x:c>
      <x:c r="F40" s="16" t="str">
        <x:v>FY2024A</x:v>
      </x:c>
      <x:c r="G40" s="16" t="str">
        <x:v>FY2025A</x:v>
      </x:c>
      <x:c r="H40" s="16" t="str">
        <x:v>Definition</x:v>
      </x:c>
      <x:c r="I40" s="16" t="str">
        <x:v>Use</x:v>
      </x:c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7" t="str">
        <x:v>Revenue growth</x:v>
      </x:c>
      <x:c r="B41" s="32" t="n">
        <x:f>D16/C16-1</x:f>
        <x:v>0.20280606826966752</x:v>
      </x:c>
      <x:c r="C41" s="32" t="n">
        <x:f>E16/D16-1</x:f>
        <x:v>0.24507769205693797</x:v>
      </x:c>
      <x:c r="D41" s="32" t="n">
        <x:f>F16/E16-1</x:f>
        <x:v>0.289356326553766</x:v>
      </x:c>
      <x:c r="E41" s="32" t="n">
        <x:f>G16/F16-1</x:f>
        <x:v>0.23311521403273638</x:v>
      </x:c>
      <x:c r="F41" s="32" t="n">
        <x:f>H16/G16-1</x:f>
        <x:v>0.3801595393585766</x:v>
      </x:c>
      <x:c r="G41" s="32" t="n">
        <x:f>I16/H16-1</x:f>
        <x:v>0.2972038888237083</x:v>
      </x:c>
      <x:c r="H41" s="17" t="str">
        <x:v>Revenue change ÷ prior-year revenue</x:v>
      </x:c>
      <x:c r="I41" s="17" t="str">
        <x:v>Historical growth</x:v>
      </x:c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7" t="str">
        <x:v>Gross margin</x:v>
      </x:c>
      <x:c r="B42" s="32" t="n">
        <x:f>D18/D16</x:f>
        <x:v>0.595572096055634</x:v>
      </x:c>
      <x:c r="C42" s="32" t="n">
        <x:f>E18/E16</x:f>
        <x:v>0.6187966086163486</x:v>
      </x:c>
      <x:c r="D42" s="32" t="n">
        <x:f>F18/F16</x:f>
        <x:v>0.6353972597176464</x:v>
      </x:c>
      <x:c r="E42" s="32" t="n">
        <x:f>G18/G16</x:f>
        <x:v>0.6233383603920831</x:v>
      </x:c>
      <x:c r="F42" s="32" t="n">
        <x:f>H18/H16</x:f>
        <x:v>0.602733869315956</x:v>
      </x:c>
      <x:c r="G42" s="32" t="n">
        <x:f>I18/I16</x:f>
        <x:v>0.6063465954557022</x:v>
      </x:c>
      <x:c r="H42" s="17" t="str">
        <x:v>Gross profit ÷ revenue</x:v>
      </x:c>
      <x:c r="I42" s="17" t="str">
        <x:v>Delivery mix</x:v>
      </x:c>
      <x:c r="J42" s="1"/>
      <x:c r="K42" s="1"/>
      <x:c r="L42" s="1"/>
      <x:c r="M42" s="1"/>
      <x:c r="N42" s="1"/>
      <x:c r="O42" s="1"/>
      <x:c r="P42" s="1"/>
      <x:c r="Q42" s="1"/>
      <x:c r="R42" s="1"/>
    </x:row>
    <x:row r="43">
      <x:c r="A43" s="17" t="str">
        <x:v>Incremental gross margin</x:v>
      </x:c>
      <x:c r="B43" s="32" t="n">
        <x:f>(D18-C18)/(D16-C16)</x:f>
        <x:v>0.3798353445359195</x:v>
      </x:c>
      <x:c r="C43" s="32" t="n">
        <x:f>(E18-D18)/(E16-D16)</x:f>
        <x:v>0.7135604868208117</x:v>
      </x:c>
      <x:c r="D43" s="32" t="n">
        <x:f>(F18-E18)/(F16-E16)</x:f>
        <x:v>0.6927682227064689</x:v>
      </x:c>
      <x:c r="E43" s="32" t="n">
        <x:f>(G18-F18)/(G16-F16)</x:f>
        <x:v>0.57160900683788</x:v>
      </x:c>
      <x:c r="F43" s="32" t="n">
        <x:f>(H18-G18)/(H16-G16)</x:f>
        <x:v>0.5485342795571614</x:v>
      </x:c>
      <x:c r="G43" s="32" t="n">
        <x:f>(I18-H18)/(I16-H16)</x:f>
        <x:v>0.6185023117016938</x:v>
      </x:c>
      <x:c r="H43" s="17" t="str">
        <x:v>Gross-profit change ÷ revenue change</x:v>
      </x:c>
      <x:c r="I43" s="17" t="str">
        <x:v>Quality of added revenue</x:v>
      </x:c>
      <x:c r="J43" s="1"/>
      <x:c r="K43" s="1"/>
      <x:c r="L43" s="1"/>
      <x:c r="M43" s="1"/>
      <x:c r="N43" s="1"/>
      <x:c r="O43" s="1"/>
      <x:c r="P43" s="1"/>
      <x:c r="Q43" s="1"/>
      <x:c r="R43" s="1"/>
    </x:row>
    <x:row r="44">
      <x:c r="A44" s="17" t="str">
        <x:v>Incremental S&amp;M cost ratio</x:v>
      </x:c>
      <x:c r="B44" s="32" t="n">
        <x:f>(D19-C19)/(D16-C16)</x:f>
        <x:v>0.12278270956516124</x:v>
      </x:c>
      <x:c r="C44" s="32" t="n">
        <x:f>(E19-D19)/(E16-D16)</x:f>
        <x:v>1.6870580150302594</x:v>
      </x:c>
      <x:c r="D44" s="32" t="n">
        <x:f>(F19-E19)/(F16-E16)</x:f>
        <x:v>0.5270202001161187</x:v>
      </x:c>
      <x:c r="E44" s="32" t="n">
        <x:f>(G19-F19)/(G16-F16)</x:f>
        <x:v>-0.07837429770183381</x:v>
      </x:c>
      <x:c r="F44" s="32" t="n">
        <x:f>(H19-G19)/(H16-G16)</x:f>
        <x:v>0.0941158209731042</x:v>
      </x:c>
      <x:c r="G44" s="32" t="n">
        <x:f>(I19-H19)/(I16-H16)</x:f>
        <x:v>0.08539579946071453</x:v>
      </x:c>
      <x:c r="H44" s="17" t="str">
        <x:v>S&amp;M change ÷ revenue change</x:v>
      </x:c>
      <x:c r="I44" s="17" t="str">
        <x:v>Commercial cost of added revenue</x:v>
      </x:c>
      <x:c r="J44" s="1"/>
      <x:c r="K44" s="1"/>
      <x:c r="L44" s="1"/>
      <x:c r="M44" s="1"/>
      <x:c r="N44" s="1"/>
      <x:c r="O44" s="1"/>
      <x:c r="P44" s="1"/>
      <x:c r="Q44" s="1"/>
      <x:c r="R44" s="1"/>
    </x:row>
    <x:row r="45">
      <x:c r="A45" s="17" t="str">
        <x:v>S&amp;M / revenue</x:v>
      </x:c>
      <x:c r="B45" s="32" t="n">
        <x:f>D19/D16</x:f>
        <x:v>0.20955123329349126</x:v>
      </x:c>
      <x:c r="C45" s="32" t="n">
        <x:f>E19/E16</x:f>
        <x:v>0.5003796324982872</x:v>
      </x:c>
      <x:c r="D45" s="32" t="n">
        <x:f>F19/F16</x:f>
        <x:v>0.5063582876027352</x:v>
      </x:c>
      <x:c r="E45" s="32" t="n">
        <x:f>G19/G16</x:f>
        <x:v>0.3958170662926791</x:v>
      </x:c>
      <x:c r="F45" s="32" t="n">
        <x:f>H19/H16</x:f>
        <x:v>0.3127146399616606</x:v>
      </x:c>
      <x:c r="G45" s="32" t="n">
        <x:f>I19/I16</x:f>
        <x:v>0.2606333565320833</x:v>
      </x:c>
      <x:c r="H45" s="17" t="str">
        <x:v>S&amp;M ÷ revenue</x:v>
      </x:c>
      <x:c r="I45" s="17" t="str">
        <x:v>Expense absorption</x:v>
      </x:c>
      <x:c r="J45" s="1"/>
      <x:c r="K45" s="1"/>
      <x:c r="L45" s="1"/>
      <x:c r="M45" s="1"/>
      <x:c r="N45" s="1"/>
      <x:c r="O45" s="1"/>
      <x:c r="P45" s="1"/>
      <x:c r="Q45" s="1"/>
      <x:c r="R45" s="1"/>
    </x:row>
    <x:row r="46">
      <x:c r="A46" s="17" t="str">
        <x:v>R&amp;D / revenue</x:v>
      </x:c>
      <x:c r="B46" s="32" t="n">
        <x:f>D20/D16</x:f>
        <x:v>0.08630881234380093</x:v>
      </x:c>
      <x:c r="C46" s="32" t="n">
        <x:f>E20/E16</x:f>
        <x:v>0.14066911318721118</x:v>
      </x:c>
      <x:c r="D46" s="32" t="n">
        <x:f>F20/F16</x:f>
        <x:v>0.11752721414780332</x:v>
      </x:c>
      <x:c r="E46" s="32" t="n">
        <x:f>G20/G16</x:f>
        <x:v>0.1013677350653129</x:v>
      </x:c>
      <x:c r="F46" s="32" t="n">
        <x:f>H20/H16</x:f>
        <x:v>0.0901602181050237</x:v>
      </x:c>
      <x:c r="G46" s="32" t="n">
        <x:f>I20/I16</x:f>
        <x:v>0.0898105878277079</x:v>
      </x:c>
      <x:c r="H46" s="17" t="str">
        <x:v>R&amp;D ÷ revenue</x:v>
      </x:c>
      <x:c r="I46" s="17" t="str">
        <x:v>Product investment intensity</x:v>
      </x:c>
      <x:c r="J46" s="1"/>
      <x:c r="K46" s="1"/>
      <x:c r="L46" s="1"/>
      <x:c r="M46" s="1"/>
      <x:c r="N46" s="1"/>
      <x:c r="O46" s="1"/>
      <x:c r="P46" s="1"/>
      <x:c r="Q46" s="1"/>
      <x:c r="R46" s="1"/>
    </x:row>
    <x:row r="47">
      <x:c r="A47" s="17" t="str">
        <x:v>G&amp;A / revenue</x:v>
      </x:c>
      <x:c r="B47" s="32" t="n">
        <x:f>D21/D16</x:f>
        <x:v>0.1924616972726285</x:v>
      </x:c>
      <x:c r="C47" s="32" t="n">
        <x:f>E21/E16</x:f>
        <x:v>0.41368160615091915</x:v>
      </x:c>
      <x:c r="D47" s="32" t="n">
        <x:f>F21/F16</x:f>
        <x:v>0.36147055389441946</x:v>
      </x:c>
      <x:c r="E47" s="32" t="n">
        <x:f>G21/G16</x:f>
        <x:v>0.2818890030917098</x:v>
      </x:c>
      <x:c r="F47" s="32" t="n">
        <x:f>H21/H16</x:f>
        <x:v>0.2034244954531625</x:v>
      </x:c>
      <x:c r="G47" s="32" t="n">
        <x:f>I21/I16</x:f>
        <x:v>0.17860789104967703</x:v>
      </x:c>
      <x:c r="H47" s="17" t="str">
        <x:v>G&amp;A ÷ revenue</x:v>
      </x:c>
      <x:c r="I47" s="17" t="str">
        <x:v>Overhead absorption</x:v>
      </x:c>
      <x:c r="J47" s="1"/>
      <x:c r="K47" s="1"/>
      <x:c r="L47" s="1"/>
      <x:c r="M47" s="1"/>
      <x:c r="N47" s="1"/>
      <x:c r="O47" s="1"/>
      <x:c r="P47" s="1"/>
      <x:c r="Q47" s="1"/>
      <x:c r="R47" s="1"/>
    </x:row>
    <x:row r="48">
      <x:c r="A48" s="17" t="str">
        <x:v>Pre-D&amp;A margin</x:v>
      </x:c>
      <x:c r="B48" s="32" t="n">
        <x:f>D24/D16</x:f>
        <x:v>0.08689829403455389</x:v>
      </x:c>
      <x:c r="C48" s="32" t="n">
        <x:f>E24/E16</x:f>
        <x:v>-0.44178095641208004</x:v>
      </x:c>
      <x:c r="D48" s="32" t="n">
        <x:f>F24/F16</x:f>
        <x:v>-0.35054089863798127</x:v>
      </x:c>
      <x:c r="E48" s="32" t="n">
        <x:f>G24/G16</x:f>
        <x:v>-0.15991810331223244</x:v>
      </x:c>
      <x:c r="F48" s="32" t="n">
        <x:f>H24/H16</x:f>
        <x:v>-0.011747405429160664</x:v>
      </x:c>
      <x:c r="G48" s="32" t="n">
        <x:f>I24/I16</x:f>
        <x:v>0.05933386884632715</x:v>
      </x:c>
      <x:c r="H48" s="17" t="str">
        <x:v>Pre-D&amp;A operating profit ÷ revenue</x:v>
      </x:c>
      <x:c r="I48" s="17" t="str">
        <x:v>Operating leverage before D&amp;A</x:v>
      </x:c>
      <x:c r="J48" s="1"/>
      <x:c r="K48" s="1"/>
      <x:c r="L48" s="1"/>
      <x:c r="M48" s="1"/>
      <x:c r="N48" s="1"/>
      <x:c r="O48" s="1"/>
      <x:c r="P48" s="1"/>
      <x:c r="Q48" s="1"/>
      <x:c r="R48" s="1"/>
    </x:row>
    <x:row r="49">
      <x:c r="A49" s="17" t="str">
        <x:v>Reported EBIT margin</x:v>
      </x:c>
      <x:c r="B49" s="32" t="n">
        <x:f>D26/D16</x:f>
        <x:v>-0.021935781810279255</x:v>
      </x:c>
      <x:c r="C49" s="32" t="n">
        <x:f>E26/E16</x:f>
        <x:v>-0.5419733908163844</x:v>
      </x:c>
      <x:c r="D49" s="32" t="n">
        <x:f>F26/F16</x:f>
        <x:v>-0.4383267254522718</x:v>
      </x:c>
      <x:c r="E49" s="32" t="n">
        <x:f>G26/G16</x:f>
        <x:v>-0.23010801086283816</x:v>
      </x:c>
      <x:c r="F49" s="32" t="n">
        <x:f>H26/H16</x:f>
        <x:v>-0.06752645279064265</x:v>
      </x:c>
      <x:c r="G49" s="32" t="n">
        <x:f>I26/I16</x:f>
        <x:v>0.004117522618781177</x:v>
      </x:c>
      <x:c r="H49" s="17" t="str">
        <x:v>Reported EBIT ÷ revenue</x:v>
      </x:c>
      <x:c r="I49" s="17" t="str">
        <x:v>GAAP operating profitability</x:v>
      </x:c>
      <x:c r="J49" s="1"/>
      <x:c r="K49" s="1"/>
      <x:c r="L49" s="1"/>
      <x:c r="M49" s="1"/>
      <x:c r="N49" s="1"/>
      <x:c r="O49" s="1"/>
      <x:c r="P49" s="1"/>
      <x:c r="Q49" s="1"/>
      <x:c r="R49" s="1"/>
    </x:row>
    <x:row r="50">
      <x:c r="A50" s="17" t="str">
        <x:v>Analyst-adjusted EBIT</x:v>
      </x:c>
      <x:c r="B50" s="33" t="n">
        <x:f>D26+D27+D28</x:f>
        <x:v>7.497</x:v>
      </x:c>
      <x:c r="C50" s="33" t="n">
        <x:f>E26+E27+E28</x:f>
        <x:v>-230.34400000000002</x:v>
      </x:c>
      <x:c r="D50" s="33" t="n">
        <x:f>F26+F27+F28</x:f>
        <x:v>-241.432</x:v>
      </x:c>
      <x:c r="E50" s="33" t="n">
        <x:f>G26+G27+G28</x:f>
        <x:v>-156.551</x:v>
      </x:c>
      <x:c r="F50" s="33" t="n">
        <x:f>H26+H27+H28</x:f>
        <x:v>-54.62800000000001</x:v>
      </x:c>
      <x:c r="G50" s="33" t="n">
        <x:f>I26+I27+I28</x:f>
        <x:v>36.79</x:v>
      </x:c>
      <x:c r="H50" s="17" t="str">
        <x:v>Reported EBIT + approved acquisition adjustments</x:v>
      </x:c>
      <x:c r="I50" s="17" t="str">
        <x:v>Comparison metric</x:v>
      </x:c>
      <x:c r="J50" s="1"/>
      <x:c r="K50" s="1"/>
      <x:c r="L50" s="1"/>
      <x:c r="M50" s="1"/>
      <x:c r="N50" s="1"/>
      <x:c r="O50" s="1"/>
      <x:c r="P50" s="1"/>
      <x:c r="Q50" s="1"/>
      <x:c r="R50" s="1"/>
    </x:row>
    <x:row r="51">
      <x:c r="A51" s="17" t="str">
        <x:v>Analyst-adjusted EBIT margin</x:v>
      </x:c>
      <x:c r="B51" s="32" t="n">
        <x:f>B50/D16</x:f>
        <x:v>0.02036564163859611</x:v>
      </x:c>
      <x:c r="C51" s="32" t="n">
        <x:f>C50/E16</x:f>
        <x:v>-0.5025636102614228</x:v>
      </x:c>
      <x:c r="D51" s="32" t="n">
        <x:f>D50/F16</x:f>
        <x:v>-0.40854134198365033</x:v>
      </x:c>
      <x:c r="E51" s="32" t="n">
        <x:f>E50/G16</x:f>
        <x:v>-0.2148292286643896</x:v>
      </x:c>
      <x:c r="F51" s="32" t="n">
        <x:f>F50/H16</x:f>
        <x:v>-0.05431546879256757</x:v>
      </x:c>
      <x:c r="G51" s="32" t="n">
        <x:f>G50/I16</x:f>
        <x:v>0.028198744814772803</x:v>
      </x:c>
      <x:c r="H51" s="17" t="str">
        <x:v>Analyst-adjusted EBIT ÷ revenue</x:v>
      </x:c>
      <x:c r="I51" s="17" t="str">
        <x:v>Comparison margin</x:v>
      </x:c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7" t="str">
        <x:v>Operating fixed investment / revenue</x:v>
      </x:c>
      <x:c r="B52" s="32" t="n">
        <x:f>D31/D16</x:f>
        <x:v>0.06847495381940671</x:v>
      </x:c>
      <x:c r="C52" s="32" t="n">
        <x:f>E31/E16</x:f>
        <x:v>0.05837613289755595</x:v>
      </x:c>
      <x:c r="D52" s="32" t="n">
        <x:f>F31/F16</x:f>
        <x:v>0.0663935521971839</x:v>
      </x:c>
      <x:c r="E52" s="32" t="n">
        <x:f>G31/G16</x:f>
        <x:v>0.04936031935316986</x:v>
      </x:c>
      <x:c r="F52" s="32" t="n">
        <x:f>H31/H16</x:f>
        <x:v>0.04152804761402888</x:v>
      </x:c>
      <x:c r="G52" s="32" t="n">
        <x:f>I31/I16</x:f>
        <x:v>0.025989753715121397</x:v>
      </x:c>
      <x:c r="H52" s="17" t="str">
        <x:v>Operating investment ÷ revenue</x:v>
      </x:c>
      <x:c r="I52" s="17" t="str">
        <x:v>Capital intensity</x:v>
      </x:c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7" t="str">
        <x:v>Investment in WC / revenue</x:v>
      </x:c>
      <x:c r="B53" s="32" t="n">
        <x:f>D32/D16</x:f>
        <x:v>-0.042871889601217</x:v>
      </x:c>
      <x:c r="C53" s="32" t="n">
        <x:f>E32/E16</x:f>
        <x:v>0.007219562855360013</x:v>
      </x:c>
      <x:c r="D53" s="32" t="n">
        <x:f>F32/F16</x:f>
        <x:v>0.002275953912356314</x:v>
      </x:c>
      <x:c r="E53" s="32" t="n">
        <x:f>G32/G16</x:f>
        <x:v>0.03188591549875606</x:v>
      </x:c>
      <x:c r="F53" s="32" t="n">
        <x:f>H32/H16</x:f>
        <x:v>0.03752706924357248</x:v>
      </x:c>
      <x:c r="G53" s="32" t="n">
        <x:f>I32/I16</x:f>
        <x:v>0.04126490417485521</x:v>
      </x:c>
      <x:c r="H53" s="17" t="str">
        <x:v>Investment in WC ÷ revenue</x:v>
      </x:c>
      <x:c r="I53" s="17" t="str">
        <x:v>Cash conversion</x:v>
      </x:c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7" t="str">
        <x:v>FCFF margin</x:v>
      </x:c>
      <x:c r="B54" s="32" t="n">
        <x:f>D33/D16</x:f>
        <x:v>0</x:v>
      </x:c>
      <x:c r="C54" s="32" t="n">
        <x:f>E33/E16</x:f>
        <x:v>0</x:v>
      </x:c>
      <x:c r="D54" s="32" t="n">
        <x:f>F33/F16</x:f>
        <x:v>0</x:v>
      </x:c>
      <x:c r="E54" s="32" t="n">
        <x:f>G33/G16</x:f>
        <x:v>0</x:v>
      </x:c>
      <x:c r="F54" s="32" t="n">
        <x:f>H33/H16</x:f>
        <x:v>0</x:v>
      </x:c>
      <x:c r="G54" s="32" t="n">
        <x:f>I33/I16</x:f>
        <x:v>0</x:v>
      </x:c>
      <x:c r="H54" s="17" t="str">
        <x:v>FCFF ÷ revenue</x:v>
      </x:c>
      <x:c r="I54" s="17" t="str">
        <x:v>Cash-flow output</x:v>
      </x:c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0" customHeight="1">
      <x:c r="A58" s="11" t="str">
        <x:v>Base forecast coefficients and schedule outputs</x:v>
      </x:c>
      <x:c r="B58" s="11" t="str">
        <x:v>Base forecast coefficients and schedule outputs</x:v>
      </x:c>
      <x:c r="C58" s="11" t="str">
        <x:v>Base forecast coefficients and schedule outputs</x:v>
      </x:c>
      <x:c r="D58" s="11" t="str">
        <x:v>Base forecast coefficients and schedule outputs</x:v>
      </x:c>
      <x:c r="E58" s="11" t="str">
        <x:v>Base forecast coefficients and schedule outputs</x:v>
      </x:c>
      <x:c r="F58" s="11" t="str">
        <x:v>Base forecast coefficients and schedule outputs</x:v>
      </x:c>
      <x:c r="G58" s="11" t="str">
        <x:v>Base forecast coefficients and schedule outputs</x:v>
      </x:c>
      <x:c r="H58" s="11" t="str">
        <x:v>Base forecast coefficients and schedule outputs</x:v>
      </x:c>
      <x:c r="I58" s="11" t="str">
        <x:v>Base forecast coefficients and schedule outputs</x:v>
      </x:c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0" customHeight="1">
      <x:c r="A59" s="16" t="str">
        <x:v>Driver / output</x:v>
      </x:c>
      <x:c r="B59" s="16" t="str">
        <x:v>Unit</x:v>
      </x:c>
      <x:c r="C59" s="16" t="str">
        <x:v>FY2026E</x:v>
      </x:c>
      <x:c r="D59" s="16" t="str">
        <x:v>FY2027E</x:v>
      </x:c>
      <x:c r="E59" s="16" t="str">
        <x:v>FY2028E</x:v>
      </x:c>
      <x:c r="F59" s="16" t="str">
        <x:v>FY2029E</x:v>
      </x:c>
      <x:c r="G59" s="16" t="str">
        <x:v>FY2030E</x:v>
      </x:c>
      <x:c r="H59" s="16" t="str">
        <x:v>Type</x:v>
      </x:c>
      <x:c r="I59" s="16" t="str">
        <x:v>Source / rationale</x:v>
      </x:c>
      <x:c r="J59" s="1"/>
      <x:c r="K59" s="1"/>
      <x:c r="L59" s="11" t="str">
        <x:v>FY2026 near-term anchor bridge</x:v>
      </x:c>
      <x:c r="M59" s="11" t="str">
        <x:v>FY2026 near-term anchor bridge</x:v>
      </x:c>
      <x:c r="N59" s="11" t="str">
        <x:v>FY2026 near-term anchor bridge</x:v>
      </x:c>
      <x:c r="O59" s="11" t="str">
        <x:v>FY2026 near-term anchor bridge</x:v>
      </x:c>
      <x:c r="P59" s="11" t="str">
        <x:v>FY2026 near-term anchor bridge</x:v>
      </x:c>
      <x:c r="Q59" s="11" t="str">
        <x:v>FY2026 near-term anchor bridge</x:v>
      </x:c>
      <x:c r="R59" s="11" t="str">
        <x:v>FY2026 near-term anchor bridge</x:v>
      </x:c>
    </x:row>
    <x:row r="60" ht="20" customHeight="1">
      <x:c r="A60" s="42" t="str">
        <x:v>Near-term anchors</x:v>
      </x:c>
      <x:c r="B60" s="42" t="str">
        <x:v>Near-term anchors</x:v>
      </x:c>
      <x:c r="C60" s="42" t="str">
        <x:v>Near-term anchors</x:v>
      </x:c>
      <x:c r="D60" s="42" t="str">
        <x:v>Near-term anchors</x:v>
      </x:c>
      <x:c r="E60" s="42" t="str">
        <x:v>Near-term anchors</x:v>
      </x:c>
      <x:c r="F60" s="42" t="str">
        <x:v>Near-term anchors</x:v>
      </x:c>
      <x:c r="G60" s="42" t="str">
        <x:v>Near-term anchors</x:v>
      </x:c>
      <x:c r="H60" s="42" t="str">
        <x:v>Near-term anchors</x:v>
      </x:c>
      <x:c r="I60" s="42" t="str">
        <x:v>Near-term anchors</x:v>
      </x:c>
      <x:c r="J60" s="1"/>
      <x:c r="K60" s="1"/>
      <x:c r="L60" s="16" t="str">
        <x:v>Anchor</x:v>
      </x:c>
      <x:c r="M60" s="16" t="str">
        <x:v>H1 filed</x:v>
      </x:c>
      <x:c r="N60" s="16" t="str">
        <x:v>H2 method</x:v>
      </x:c>
      <x:c r="O60" s="16" t="str">
        <x:v>H2 forecast</x:v>
      </x:c>
      <x:c r="P60" s="16" t="str">
        <x:v>FY2026 rebuilt</x:v>
      </x:c>
      <x:c r="Q60" s="16" t="str">
        <x:v>Model anchor</x:v>
      </x:c>
      <x:c r="R60" s="16" t="str">
        <x:v>Direct source</x:v>
      </x:c>
    </x:row>
    <x:row r="61" ht="32" customHeight="1">
      <x:c r="A61" s="17" t="str">
        <x:v>Revenue anchor</x:v>
      </x:c>
      <x:c r="B61" s="17" t="str">
        <x:v>$m</x:v>
      </x:c>
      <x:c r="C61" s="43" t="n">
        <x:v>1818</x:v>
      </x:c>
      <x:c r="D61" s="43"/>
      <x:c r="E61" s="43"/>
      <x:c r="F61" s="43"/>
      <x:c r="G61" s="43"/>
      <x:c r="H61" s="17" t="str">
        <x:v>Schedule output</x:v>
      </x:c>
      <x:c r="I61" s="17" t="str">
        <x:v>Built from H1 filed revenue and the latest guidance midpoint; see the bridge at right.</x:v>
      </x:c>
      <x:c r="J61" s="1"/>
      <x:c r="K61" s="1"/>
      <x:c r="L61" s="17" t="str">
        <x:v>Revenue</x:v>
      </x:c>
      <x:c r="M61" s="28" t="n">
        <x:v>839.07</x:v>
      </x:c>
      <x:c r="N61" s="51" t="str">
        <x:v>Latest guidance midpoint less H1</x:v>
      </x:c>
      <x:c r="O61" s="52" t="n">
        <x:f>Q61-M61</x:f>
        <x:v>978.93</x:v>
      </x:c>
      <x:c r="P61" s="52" t="n">
        <x:f>M61+O61</x:f>
        <x:v>1818</x:v>
      </x:c>
      <x:c r="Q61" s="52" t="n">
        <x:f>C61</x:f>
        <x:v>1818</x:v>
      </x:c>
      <x:c r="R61" s="51" t="str">
        <x:v>Q2 FY2026 Form 10-Q; Q2 FY2026 supplemental guidance range</x:v>
      </x:c>
    </x:row>
    <x:row r="62" ht="32" customHeight="1">
      <x:c r="A62" s="17" t="str">
        <x:v>Gross-profit anchor</x:v>
      </x:c>
      <x:c r="B62" s="17" t="str">
        <x:v>$m</x:v>
      </x:c>
      <x:c r="C62" s="43" t="n">
        <x:v>1068.30105</x:v>
      </x:c>
      <x:c r="D62" s="43"/>
      <x:c r="E62" s="43"/>
      <x:c r="F62" s="43"/>
      <x:c r="G62" s="43"/>
      <x:c r="H62" s="17" t="str">
        <x:v>Schedule output</x:v>
      </x:c>
      <x:c r="I62" s="17" t="str">
        <x:v>Built from H1 filed gross profit and the H2 gross-margin assumption; see the bridge at right.</x:v>
      </x:c>
      <x:c r="J62" s="1"/>
      <x:c r="K62" s="1"/>
      <x:c r="L62" s="17" t="str">
        <x:v>Gross profit</x:v>
      </x:c>
      <x:c r="M62" s="28" t="n">
        <x:v>495.627</x:v>
      </x:c>
      <x:c r="N62" s="51" t="str">
        <x:v>H2 revenue × 58.5%</x:v>
      </x:c>
      <x:c r="O62" s="52" t="n">
        <x:f>O61*58.5%</x:f>
        <x:v>572.67405</x:v>
      </x:c>
      <x:c r="P62" s="52" t="n">
        <x:f>M62+O62</x:f>
        <x:v>1068.30105</x:v>
      </x:c>
      <x:c r="Q62" s="52" t="n">
        <x:f>C62</x:f>
        <x:v>1068.30105</x:v>
      </x:c>
      <x:c r="R62" s="51" t="str">
        <x:v>Q2 FY2026 Form 10-Q; selected H2 gross-margin assumption</x:v>
      </x:c>
    </x:row>
    <x:row r="63" ht="32" customHeight="1">
      <x:c r="A63" s="17" t="str">
        <x:v>S&amp;M anchor</x:v>
      </x:c>
      <x:c r="B63" s="17" t="str">
        <x:v>$m</x:v>
      </x:c>
      <x:c r="C63" s="43" t="n">
        <x:v>433.524</x:v>
      </x:c>
      <x:c r="D63" s="43"/>
      <x:c r="E63" s="43"/>
      <x:c r="F63" s="43"/>
      <x:c r="G63" s="43"/>
      <x:c r="H63" s="17" t="str">
        <x:v>Schedule output</x:v>
      </x:c>
      <x:c r="I63" s="17" t="str">
        <x:v>Built from H1 filed S&amp;M and the approved H2 sequential-growth assumption; see the bridge at right.</x:v>
      </x:c>
      <x:c r="J63" s="1"/>
      <x:c r="K63" s="1"/>
      <x:c r="L63" s="17" t="str">
        <x:v>S&amp;M</x:v>
      </x:c>
      <x:c r="M63" s="28" t="n">
        <x:v>206.44</x:v>
      </x:c>
      <x:c r="N63" s="51" t="str">
        <x:v>H1 × 110%</x:v>
      </x:c>
      <x:c r="O63" s="52" t="n">
        <x:f>M63*110%</x:f>
        <x:v>227.084</x:v>
      </x:c>
      <x:c r="P63" s="52" t="n">
        <x:f>M63+O63</x:f>
        <x:v>433.524</x:v>
      </x:c>
      <x:c r="Q63" s="52" t="n">
        <x:f>C63</x:f>
        <x:v>433.524</x:v>
      </x:c>
      <x:c r="R63" s="51" t="str">
        <x:v>Q2 FY2026 Form 10-Q; recent H2/H1 S&amp;M pattern</x:v>
      </x:c>
    </x:row>
    <x:row r="64" ht="32" customHeight="1">
      <x:c r="A64" s="17" t="str">
        <x:v>R&amp;D anchor</x:v>
      </x:c>
      <x:c r="B64" s="17" t="str">
        <x:v>$m</x:v>
      </x:c>
      <x:c r="C64" s="43" t="n">
        <x:v>178.72924999999998</x:v>
      </x:c>
      <x:c r="D64" s="43"/>
      <x:c r="E64" s="43"/>
      <x:c r="F64" s="43"/>
      <x:c r="G64" s="43"/>
      <x:c r="H64" s="17" t="str">
        <x:v>Schedule output</x:v>
      </x:c>
      <x:c r="I64" s="17" t="str">
        <x:v>Built from H1 filed R&amp;D and the approved H2 sequential-growth assumption; see the bridge at right.</x:v>
      </x:c>
      <x:c r="J64" s="1"/>
      <x:c r="K64" s="1"/>
      <x:c r="L64" s="17" t="str">
        <x:v>R&amp;D</x:v>
      </x:c>
      <x:c r="M64" s="28" t="n">
        <x:v>87.185</x:v>
      </x:c>
      <x:c r="N64" s="51" t="str">
        <x:v>H1 × 105%</x:v>
      </x:c>
      <x:c r="O64" s="52" t="n">
        <x:f>M64*105%</x:f>
        <x:v>91.54425</x:v>
      </x:c>
      <x:c r="P64" s="52" t="n">
        <x:f>M64+O64</x:f>
        <x:v>178.72925</x:v>
      </x:c>
      <x:c r="Q64" s="52" t="n">
        <x:f>C64</x:f>
        <x:v>178.72924999999998</x:v>
      </x:c>
      <x:c r="R64" s="51" t="str">
        <x:v>Q2 FY2026 Form 10-Q; recent H2/H1 R&amp;D pattern</x:v>
      </x:c>
    </x:row>
    <x:row r="65" ht="32" customHeight="1">
      <x:c r="A65" s="17" t="str">
        <x:v>G&amp;A anchor</x:v>
      </x:c>
      <x:c r="B65" s="17" t="str">
        <x:v>$m</x:v>
      </x:c>
      <x:c r="C65" s="43" t="n">
        <x:v>301.61</x:v>
      </x:c>
      <x:c r="D65" s="43"/>
      <x:c r="E65" s="43"/>
      <x:c r="F65" s="43"/>
      <x:c r="G65" s="43"/>
      <x:c r="H65" s="17" t="str">
        <x:v>Schedule output</x:v>
      </x:c>
      <x:c r="I65" s="17" t="str">
        <x:v>Built from H1 filed G&amp;A and the approved H2 sequential-growth assumption; see the bridge at right.</x:v>
      </x:c>
      <x:c r="J65" s="1"/>
      <x:c r="K65" s="1"/>
      <x:c r="L65" s="17" t="str">
        <x:v>G&amp;A</x:v>
      </x:c>
      <x:c r="M65" s="28" t="n">
        <x:v>149.312</x:v>
      </x:c>
      <x:c r="N65" s="51" t="str">
        <x:v>H1 × 102%</x:v>
      </x:c>
      <x:c r="O65" s="52" t="n">
        <x:f>M65*102%</x:f>
        <x:v>152.29824000000002</x:v>
      </x:c>
      <x:c r="P65" s="52" t="n">
        <x:f>M65+O65</x:f>
        <x:v>301.61024000000003</x:v>
      </x:c>
      <x:c r="Q65" s="52" t="n">
        <x:f>C65</x:f>
        <x:v>301.61</x:v>
      </x:c>
      <x:c r="R65" s="51" t="str">
        <x:v>Q2 FY2026 Form 10-Q; recent H2/H1 G&amp;A pattern</x:v>
      </x:c>
    </x:row>
    <x:row r="66" ht="20" customHeight="1">
      <x:c r="A66" s="42" t="str">
        <x:v>Forecast coefficients</x:v>
      </x:c>
      <x:c r="B66" s="42" t="str">
        <x:v>Forecast coefficients</x:v>
      </x:c>
      <x:c r="C66" s="42" t="str">
        <x:v>Forecast coefficients</x:v>
      </x:c>
      <x:c r="D66" s="42" t="str">
        <x:v>Forecast coefficients</x:v>
      </x:c>
      <x:c r="E66" s="42" t="str">
        <x:v>Forecast coefficients</x:v>
      </x:c>
      <x:c r="F66" s="42" t="str">
        <x:v>Forecast coefficients</x:v>
      </x:c>
      <x:c r="G66" s="42" t="str">
        <x:v>Forecast coefficients</x:v>
      </x:c>
      <x:c r="H66" s="42" t="str">
        <x:v>Forecast coefficients</x:v>
      </x:c>
      <x:c r="I66" s="42" t="str">
        <x:v>Forecast coefficients</x:v>
      </x:c>
      <x:c r="J66" s="1"/>
      <x:c r="K66" s="1"/>
      <x:c r="L66" s="1"/>
      <x:c r="M66" s="1"/>
      <x:c r="N66" s="1"/>
      <x:c r="O66" s="1"/>
      <x:c r="P66" s="1"/>
      <x:c r="Q66" s="1"/>
      <x:c r="R66" s="1"/>
    </x:row>
    <x:row r="67">
      <x:c r="A67" s="17" t="str">
        <x:v>Revenue growth</x:v>
      </x:c>
      <x:c r="B67" s="17" t="str">
        <x:v>%</x:v>
      </x:c>
      <x:c r="C67" s="26" t="n">
        <x:f>C61/I16-1</x:f>
        <x:v>0.3934579525212545</x:v>
      </x:c>
      <x:c r="D67" s="26" t="n">
        <x:v>0.21999999999999997</x:v>
      </x:c>
      <x:c r="E67" s="26" t="n">
        <x:v>0.20999999999999996</x:v>
      </x:c>
      <x:c r="F67" s="26" t="n">
        <x:v>0.18999999999999995</x:v>
      </x:c>
      <x:c r="G67" s="26" t="n">
        <x:v>0.17999999999999994</x:v>
      </x:c>
      <x:c r="H67" s="17" t="str">
        <x:v>Coefficient</x:v>
      </x:c>
      <x:c r="I67" s="17" t="str">
        <x:v>Explicit Base estimates: 22%, 21%, 19% and 18%.</x:v>
      </x:c>
      <x:c r="J67" s="1"/>
      <x:c r="K67" s="1"/>
      <x:c r="L67" s="17" t="str">
        <x:v>Maximum bridge difference</x:v>
      </x:c>
      <x:c r="M67" s="52" t="n">
        <x:f>MAX(ABS(P61-Q61),ABS(P62-Q62),ABS(P63-Q63),ABS(P64-Q64),ABS(P65-Q65))</x:f>
        <x:v>0.00024000000001933586</x:v>
      </x:c>
      <x:c r="N67" s="53" t="str">
        <x:f>IF(M67&lt;0.001,"PASS","CHECK")</x:f>
        <x:v>PASS</x:v>
      </x:c>
      <x:c r="O67" s="17" t="str">
        <x:v>Tolerance is $0.001m for rounding.</x:v>
      </x:c>
      <x:c r="P67" s="17" t="str">
        <x:v>Tolerance is $0.001m for rounding.</x:v>
      </x:c>
      <x:c r="Q67" s="17" t="str">
        <x:v>Tolerance is $0.001m for rounding.</x:v>
      </x:c>
      <x:c r="R67" s="17" t="str">
        <x:v>Tolerance is $0.001m for rounding.</x:v>
      </x:c>
    </x:row>
    <x:row r="68">
      <x:c r="A68" s="17" t="str">
        <x:v>Incremental gross margin</x:v>
      </x:c>
      <x:c r="B68" s="17" t="str">
        <x:v>%</x:v>
      </x:c>
      <x:c r="C68" s="26" t="n">
        <x:f>(C62-I18)/(C61-I16)</x:f>
        <x:v>0.5400404611440548</x:v>
      </x:c>
      <x:c r="D68" s="26" t="n">
        <x:v>0.5700000000000001</x:v>
      </x:c>
      <x:c r="E68" s="26" t="n">
        <x:v>0.5600000000000002</x:v>
      </x:c>
      <x:c r="F68" s="26" t="n">
        <x:v>0.56</x:v>
      </x:c>
      <x:c r="G68" s="26" t="n">
        <x:v>0.5599999999999998</x:v>
      </x:c>
      <x:c r="H68" s="17" t="str">
        <x:v>Coefficient</x:v>
      </x:c>
      <x:c r="I68" s="17" t="str">
        <x:v>Constrains the gross profit carried by new revenue.</x:v>
      </x:c>
      <x:c r="J68" s="1"/>
      <x:c r="K68" s="1"/>
      <x:c r="L68" s="1"/>
      <x:c r="M68" s="1"/>
      <x:c r="N68" s="1"/>
      <x:c r="O68" s="1"/>
      <x:c r="P68" s="1"/>
      <x:c r="Q68" s="1"/>
      <x:c r="R68" s="1"/>
    </x:row>
    <x:row r="69">
      <x:c r="A69" s="17" t="str">
        <x:v>Incremental S&amp;M cost ratio</x:v>
      </x:c>
      <x:c r="B69" s="17" t="str">
        <x:v>%</x:v>
      </x:c>
      <x:c r="C69" s="26" t="n">
        <x:f>(C63-I19)/(C61-I16)</x:f>
        <x:v>0.1821121613302891</x:v>
      </x:c>
      <x:c r="D69" s="26" t="n">
        <x:v>0.165</x:v>
      </x:c>
      <x:c r="E69" s="26" t="n">
        <x:v>0.15499999999999994</x:v>
      </x:c>
      <x:c r="F69" s="26" t="n">
        <x:v>0.15000000000000005</x:v>
      </x:c>
      <x:c r="G69" s="26" t="n">
        <x:v>0.14499999999999993</x:v>
      </x:c>
      <x:c r="H69" s="17" t="str">
        <x:v>Coefficient</x:v>
      </x:c>
      <x:c r="I69" s="17" t="str">
        <x:v>Change in S&amp;M divided by change in revenue.</x:v>
      </x:c>
      <x:c r="J69" s="1"/>
      <x:c r="K69" s="1"/>
      <x:c r="L69" s="1"/>
      <x:c r="M69" s="1"/>
      <x:c r="N69" s="1"/>
      <x:c r="O69" s="1"/>
      <x:c r="P69" s="1"/>
      <x:c r="Q69" s="1"/>
      <x:c r="R69" s="1"/>
    </x:row>
    <x:row r="70">
      <x:c r="A70" s="17" t="str">
        <x:v>R&amp;D direct growth</x:v>
      </x:c>
      <x:c r="B70" s="17" t="str">
        <x:v>%</x:v>
      </x:c>
      <x:c r="C70" s="26"/>
      <x:c r="D70" s="26" t="n">
        <x:v>0.1499999999999999</x:v>
      </x:c>
      <x:c r="E70" s="26"/>
      <x:c r="F70" s="26"/>
      <x:c r="G70" s="26"/>
      <x:c r="H70" s="17" t="str">
        <x:v>Coefficient</x:v>
      </x:c>
      <x:c r="I70" s="17" t="str">
        <x:v>FY2027 uses a direct estimate after the FY2026 cost-base reset.</x:v>
      </x:c>
      <x:c r="J70" s="1"/>
      <x:c r="K70" s="1"/>
      <x:c r="L70" s="1"/>
      <x:c r="M70" s="1"/>
      <x:c r="N70" s="1"/>
      <x:c r="O70" s="1"/>
      <x:c r="P70" s="1"/>
      <x:c r="Q70" s="1"/>
      <x:c r="R70" s="1"/>
    </x:row>
    <x:row r="71">
      <x:c r="A71" s="17" t="str">
        <x:v>R&amp;D revenue-growth elasticity</x:v>
      </x:c>
      <x:c r="B71" s="17" t="str">
        <x:v>x</x:v>
      </x:c>
      <x:c r="C71" s="44"/>
      <x:c r="D71" s="44"/>
      <x:c r="E71" s="44" t="n">
        <x:v>1</x:v>
      </x:c>
      <x:c r="F71" s="44" t="n">
        <x:v>1</x:v>
      </x:c>
      <x:c r="G71" s="44" t="n">
        <x:v>1</x:v>
      </x:c>
      <x:c r="H71" s="17" t="str">
        <x:v>Coefficient</x:v>
      </x:c>
      <x:c r="I71" s="17" t="str">
        <x:v>From FY2028, R&amp;D grows in line with revenue.</x:v>
      </x:c>
      <x:c r="J71" s="1"/>
      <x:c r="K71" s="1"/>
      <x:c r="L71" s="1"/>
      <x:c r="M71" s="1"/>
      <x:c r="N71" s="1"/>
      <x:c r="O71" s="1"/>
      <x:c r="P71" s="1"/>
      <x:c r="Q71" s="1"/>
      <x:c r="R71" s="1"/>
    </x:row>
    <x:row r="72">
      <x:c r="A72" s="17" t="str">
        <x:v>R&amp;D growth used</x:v>
      </x:c>
      <x:c r="B72" s="17" t="str">
        <x:v>%</x:v>
      </x:c>
      <x:c r="C72" s="45" t="n">
        <x:f>C64/I20-1</x:f>
        <x:v>0.5253450026883324</x:v>
      </x:c>
      <x:c r="D72" s="45" t="n">
        <x:f>D70</x:f>
        <x:v>0.1499999999999999</x:v>
      </x:c>
      <x:c r="E72" s="45" t="n">
        <x:f>E67*E71</x:f>
        <x:v>0.20999999999999996</x:v>
      </x:c>
      <x:c r="F72" s="45" t="n">
        <x:f>F67*F71</x:f>
        <x:v>0.18999999999999995</x:v>
      </x:c>
      <x:c r="G72" s="45" t="n">
        <x:f>G67*G71</x:f>
        <x:v>0.17999999999999994</x:v>
      </x:c>
      <x:c r="H72" s="17" t="str">
        <x:v>Calculated driver</x:v>
      </x:c>
      <x:c r="I72" s="17" t="str">
        <x:v>Direct FY2027 growth; thereafter revenue growth × elasticity.</x:v>
      </x:c>
      <x:c r="J72" s="1"/>
      <x:c r="K72" s="1"/>
      <x:c r="L72" s="1"/>
      <x:c r="M72" s="1"/>
      <x:c r="N72" s="1"/>
      <x:c r="O72" s="1"/>
      <x:c r="P72" s="1"/>
      <x:c r="Q72" s="1"/>
      <x:c r="R72" s="1"/>
    </x:row>
    <x:row r="73">
      <x:c r="A73" s="17" t="str">
        <x:v>G&amp;A direct growth</x:v>
      </x:c>
      <x:c r="B73" s="17" t="str">
        <x:v>%</x:v>
      </x:c>
      <x:c r="C73" s="26"/>
      <x:c r="D73" s="26" t="n">
        <x:v>0.1200000000000001</x:v>
      </x:c>
      <x:c r="E73" s="26"/>
      <x:c r="F73" s="26"/>
      <x:c r="G73" s="26"/>
      <x:c r="H73" s="17" t="str">
        <x:v>Coefficient</x:v>
      </x:c>
      <x:c r="I73" s="17" t="str">
        <x:v>FY2027 keeps a double-digit integration and infrastructure allowance.</x:v>
      </x:c>
      <x:c r="J73" s="1"/>
      <x:c r="K73" s="1"/>
      <x:c r="L73" s="1"/>
      <x:c r="M73" s="1"/>
      <x:c r="N73" s="1"/>
      <x:c r="O73" s="1"/>
      <x:c r="P73" s="1"/>
      <x:c r="Q73" s="1"/>
      <x:c r="R73" s="1"/>
    </x:row>
    <x:row r="74">
      <x:c r="A74" s="17" t="str">
        <x:v>G&amp;A revenue-growth elasticity</x:v>
      </x:c>
      <x:c r="B74" s="17" t="str">
        <x:v>x</x:v>
      </x:c>
      <x:c r="C74" s="44"/>
      <x:c r="D74" s="44"/>
      <x:c r="E74" s="44" t="n">
        <x:v>0.6</x:v>
      </x:c>
      <x:c r="F74" s="44" t="n">
        <x:v>0.6</x:v>
      </x:c>
      <x:c r="G74" s="44" t="n">
        <x:v>0.6</x:v>
      </x:c>
      <x:c r="H74" s="17" t="str">
        <x:v>Coefficient</x:v>
      </x:c>
      <x:c r="I74" s="17" t="str">
        <x:v>Finance, legal, HR and infrastructure are semi-fixed at the margin.</x:v>
      </x:c>
      <x:c r="J74" s="1"/>
      <x:c r="K74" s="1"/>
      <x:c r="L74" s="1"/>
      <x:c r="M74" s="1"/>
      <x:c r="N74" s="1"/>
      <x:c r="O74" s="1"/>
      <x:c r="P74" s="1"/>
      <x:c r="Q74" s="1"/>
      <x:c r="R74" s="1"/>
    </x:row>
    <x:row r="75">
      <x:c r="A75" s="17" t="str">
        <x:v>G&amp;A growth cap</x:v>
      </x:c>
      <x:c r="B75" s="17" t="str">
        <x:v>%</x:v>
      </x:c>
      <x:c r="C75" s="26"/>
      <x:c r="D75" s="26"/>
      <x:c r="E75" s="26" t="n">
        <x:v>0.12</x:v>
      </x:c>
      <x:c r="F75" s="26" t="n">
        <x:v>0.12</x:v>
      </x:c>
      <x:c r="G75" s="26" t="n">
        <x:v>0.12</x:v>
      </x:c>
      <x:c r="H75" s="17" t="str">
        <x:v>Coefficient</x:v>
      </x:c>
      <x:c r="I75" s="17" t="str">
        <x:v>Prevents political-year revenue from forcing another overhead step-up.</x:v>
      </x:c>
      <x:c r="J75" s="1"/>
      <x:c r="K75" s="1"/>
      <x:c r="L75" s="1"/>
      <x:c r="M75" s="1"/>
      <x:c r="N75" s="1"/>
      <x:c r="O75" s="1"/>
      <x:c r="P75" s="1"/>
      <x:c r="Q75" s="1"/>
      <x:c r="R75" s="1"/>
    </x:row>
    <x:row r="76">
      <x:c r="A76" s="17" t="str">
        <x:v>G&amp;A growth used</x:v>
      </x:c>
      <x:c r="B76" s="17" t="str">
        <x:v>%</x:v>
      </x:c>
      <x:c r="C76" s="45" t="n">
        <x:f>C65/I21-1</x:f>
        <x:v>0.2943301977478716</x:v>
      </x:c>
      <x:c r="D76" s="45" t="n">
        <x:f>D73</x:f>
        <x:v>0.1200000000000001</x:v>
      </x:c>
      <x:c r="E76" s="45" t="n">
        <x:f>MIN(E75,E67*E74)</x:f>
        <x:v>0.12</x:v>
      </x:c>
      <x:c r="F76" s="45" t="n">
        <x:f>MIN(F75,F67*F74)</x:f>
        <x:v>0.11399999999999996</x:v>
      </x:c>
      <x:c r="G76" s="45" t="n">
        <x:f>MIN(G75,G67*G74)</x:f>
        <x:v>0.10799999999999996</x:v>
      </x:c>
      <x:c r="H76" s="17" t="str">
        <x:v>Calculated driver</x:v>
      </x:c>
      <x:c r="I76" s="17" t="str">
        <x:v>Direct FY2027 growth; thereafter the lower of the cap and revenue growth × elasticity.</x:v>
      </x:c>
      <x:c r="J76" s="1"/>
      <x:c r="K76" s="1"/>
      <x:c r="L76" s="1"/>
      <x:c r="M76" s="1"/>
      <x:c r="N76" s="1"/>
      <x:c r="O76" s="1"/>
      <x:c r="P76" s="1"/>
      <x:c r="Q76" s="1"/>
      <x:c r="R76" s="1"/>
    </x:row>
    <x:row r="77" ht="20" customHeight="1">
      <x:c r="A77" s="42" t="str">
        <x:v>Detailed schedule outputs</x:v>
      </x:c>
      <x:c r="B77" s="42" t="str">
        <x:v>Detailed schedule outputs</x:v>
      </x:c>
      <x:c r="C77" s="42" t="str">
        <x:v>Detailed schedule outputs</x:v>
      </x:c>
      <x:c r="D77" s="42" t="str">
        <x:v>Detailed schedule outputs</x:v>
      </x:c>
      <x:c r="E77" s="42" t="str">
        <x:v>Detailed schedule outputs</x:v>
      </x:c>
      <x:c r="F77" s="42" t="str">
        <x:v>Detailed schedule outputs</x:v>
      </x:c>
      <x:c r="G77" s="42" t="str">
        <x:v>Detailed schedule outputs</x:v>
      </x:c>
      <x:c r="H77" s="42" t="str">
        <x:v>Detailed schedule outputs</x:v>
      </x:c>
      <x:c r="I77" s="42" t="str">
        <x:v>Detailed schedule outputs</x:v>
      </x:c>
      <x:c r="J77" s="1"/>
      <x:c r="K77" s="1"/>
      <x:c r="L77" s="1"/>
      <x:c r="M77" s="1"/>
      <x:c r="N77" s="1"/>
      <x:c r="O77" s="1"/>
      <x:c r="P77" s="1"/>
      <x:c r="Q77" s="1"/>
      <x:c r="R77" s="1"/>
    </x:row>
    <x:row r="78">
      <x:c r="A78" s="17" t="str">
        <x:v>Acquisition-related expense</x:v>
      </x:c>
      <x:c r="B78" s="17" t="str">
        <x:v>$m</x:v>
      </x:c>
      <x:c r="C78" s="43" t="n">
        <x:v>1.666</x:v>
      </x:c>
      <x:c r="D78" s="43" t="n">
        <x:v>0</x:v>
      </x:c>
      <x:c r="E78" s="43" t="n">
        <x:v>0</x:v>
      </x:c>
      <x:c r="F78" s="43" t="n">
        <x:v>0</x:v>
      </x:c>
      <x:c r="G78" s="43" t="n">
        <x:v>0</x:v>
      </x:c>
      <x:c r="H78" s="17" t="str">
        <x:v>Schedule output</x:v>
      </x:c>
      <x:c r="I78" s="17" t="str">
        <x:v>No new transaction assumed after FY2026.</x:v>
      </x:c>
      <x:c r="J78" s="1"/>
      <x:c r="K78" s="1"/>
      <x:c r="L78" s="1"/>
      <x:c r="M78" s="1"/>
      <x:c r="N78" s="1"/>
      <x:c r="O78" s="1"/>
      <x:c r="P78" s="1"/>
      <x:c r="Q78" s="1"/>
      <x:c r="R78" s="1"/>
    </x:row>
    <x:row r="79">
      <x:c r="A79" s="17" t="str">
        <x:v>Restructuring expense</x:v>
      </x:c>
      <x:c r="B79" s="17" t="str">
        <x:v>$m</x:v>
      </x:c>
      <x:c r="C79" s="43" t="n">
        <x:v>6.752</x:v>
      </x:c>
      <x:c r="D79" s="43" t="n">
        <x:v>0</x:v>
      </x:c>
      <x:c r="E79" s="43" t="n">
        <x:v>0</x:v>
      </x:c>
      <x:c r="F79" s="43" t="n">
        <x:v>0</x:v>
      </x:c>
      <x:c r="G79" s="43" t="n">
        <x:v>0</x:v>
      </x:c>
      <x:c r="H79" s="17" t="str">
        <x:v>Schedule output</x:v>
      </x:c>
      <x:c r="I79" s="17" t="str">
        <x:v>No new restructuring programme assumed after FY2026.</x:v>
      </x:c>
      <x:c r="J79" s="1"/>
      <x:c r="K79" s="1"/>
      <x:c r="L79" s="1"/>
      <x:c r="M79" s="1"/>
      <x:c r="N79" s="1"/>
      <x:c r="O79" s="1"/>
      <x:c r="P79" s="1"/>
      <x:c r="Q79" s="1"/>
      <x:c r="R79" s="1"/>
    </x:row>
    <x:row r="80">
      <x:c r="A80" s="17" t="str">
        <x:v>D&amp;A</x:v>
      </x:c>
      <x:c r="B80" s="17" t="str">
        <x:v>$m</x:v>
      </x:c>
      <x:c r="C80" s="43" t="n">
        <x:v>91.80856666666666</x:v>
      </x:c>
      <x:c r="D80" s="43" t="n">
        <x:v>85.01976133333332</x:v>
      </x:c>
      <x:c r="E80" s="43" t="n">
        <x:v>76.26328757333334</x:v>
      </x:c>
      <x:c r="F80" s="43" t="n">
        <x:v>73.35274501290667</x:v>
      </x:c>
      <x:c r="G80" s="43" t="n">
        <x:v>74.57791652615595</x:v>
      </x:c>
      <x:c r="H80" s="17" t="str">
        <x:v>Schedule output</x:v>
      </x:c>
      <x:c r="I80" s="17" t="str">
        <x:v>Asset-vintage schedule, including acquisition amortisation.</x:v>
      </x:c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s="17" t="str">
        <x:v>Acquisition-expense adjustment</x:v>
      </x:c>
      <x:c r="B81" s="17" t="str">
        <x:v>$m</x:v>
      </x:c>
      <x:c r="C81" s="43" t="n">
        <x:v>1.666</x:v>
      </x:c>
      <x:c r="D81" s="43" t="n">
        <x:v>0</x:v>
      </x:c>
      <x:c r="E81" s="43" t="n">
        <x:v>0</x:v>
      </x:c>
      <x:c r="F81" s="43" t="n">
        <x:v>0</x:v>
      </x:c>
      <x:c r="G81" s="43" t="n">
        <x:v>0</x:v>
      </x:c>
      <x:c r="H81" s="17" t="str">
        <x:v>Schedule output</x:v>
      </x:c>
      <x:c r="I81" s="17" t="str">
        <x:v>Approved analyst adjustment.</x:v>
      </x:c>
      <x:c r="J81" s="1"/>
      <x:c r="K81" s="1"/>
      <x:c r="L81" s="1"/>
      <x:c r="M81" s="1"/>
      <x:c r="N81" s="1"/>
      <x:c r="O81" s="1"/>
      <x:c r="P81" s="1"/>
      <x:c r="Q81" s="1"/>
      <x:c r="R81" s="1"/>
    </x:row>
    <x:row r="82">
      <x:c r="A82" s="17" t="str">
        <x:v>Acquisition-amortisation adjustment</x:v>
      </x:c>
      <x:c r="B82" s="17" t="str">
        <x:v>$m</x:v>
      </x:c>
      <x:c r="C82" s="43" t="n">
        <x:v>51.544</x:v>
      </x:c>
      <x:c r="D82" s="43" t="n">
        <x:v>44.175</x:v>
      </x:c>
      <x:c r="E82" s="43" t="n">
        <x:v>34.771</x:v>
      </x:c>
      <x:c r="F82" s="43" t="n">
        <x:v>25.951</x:v>
      </x:c>
      <x:c r="G82" s="43" t="n">
        <x:v>22.171</x:v>
      </x:c>
      <x:c r="H82" s="17" t="str">
        <x:v>Schedule output</x:v>
      </x:c>
      <x:c r="I82" s="17" t="str">
        <x:v>Purchase-accounting amortisation bridge.</x:v>
      </x:c>
      <x:c r="J82" s="1"/>
      <x:c r="K82" s="1"/>
      <x:c r="L82" s="1"/>
      <x:c r="M82" s="1"/>
      <x:c r="N82" s="1"/>
      <x:c r="O82" s="1"/>
      <x:c r="P82" s="1"/>
      <x:c r="Q82" s="1"/>
      <x:c r="R82" s="1"/>
    </x:row>
    <x:row r="83">
      <x:c r="A83" s="17" t="str">
        <x:v>ETR on EBIT</x:v>
      </x:c>
      <x:c r="B83" s="17" t="str">
        <x:v>%</x:v>
      </x:c>
      <x:c r="C83" s="46" t="n">
        <x:v>0</x:v>
      </x:c>
      <x:c r="D83" s="46" t="n">
        <x:v>0.03392031402470694</x:v>
      </x:c>
      <x:c r="E83" s="46" t="n">
        <x:v>0.17705749438887453</x:v>
      </x:c>
      <x:c r="F83" s="46" t="n">
        <x:v>0.25</x:v>
      </x:c>
      <x:c r="G83" s="46" t="n">
        <x:v>0.25</x:v>
      </x:c>
      <x:c r="H83" s="17" t="str">
        <x:v>Schedule output</x:v>
      </x:c>
      <x:c r="I83" s="17" t="str">
        <x:v>NOL schedule followed by the long-run unlevered tax rate.</x:v>
      </x:c>
      <x:c r="J83" s="1"/>
      <x:c r="K83" s="1"/>
      <x:c r="L83" s="1"/>
      <x:c r="M83" s="1"/>
      <x:c r="N83" s="1"/>
      <x:c r="O83" s="1"/>
      <x:c r="P83" s="1"/>
      <x:c r="Q83" s="1"/>
      <x:c r="R83" s="1"/>
    </x:row>
    <x:row r="84">
      <x:c r="A84" s="17" t="str">
        <x:v>Operating fixed investment</x:v>
      </x:c>
      <x:c r="B84" s="17" t="str">
        <x:v>$m</x:v>
      </x:c>
      <x:c r="C84" s="43" t="n">
        <x:v>40.21</x:v>
      </x:c>
      <x:c r="D84" s="43" t="n">
        <x:v>43.917680000000004</x:v>
      </x:c>
      <x:c r="E84" s="43" t="n">
        <x:v>47.97106240000001</x:v>
      </x:c>
      <x:c r="F84" s="43" t="n">
        <x:v>52.181129702400014</x:v>
      </x:c>
      <x:c r="G84" s="43" t="n">
        <x:v>56.5235233513728</x:v>
      </x:c>
      <x:c r="H84" s="17" t="str">
        <x:v>Schedule output</x:v>
      </x:c>
      <x:c r="I84" s="17" t="str">
        <x:v>Cash equipment/data and software investment.</x:v>
      </x:c>
      <x:c r="J84" s="1"/>
      <x:c r="K84" s="1"/>
      <x:c r="L84" s="1"/>
      <x:c r="M84" s="1"/>
      <x:c r="N84" s="1"/>
      <x:c r="O84" s="1"/>
      <x:c r="P84" s="1"/>
      <x:c r="Q84" s="1"/>
      <x:c r="R84" s="1"/>
    </x:row>
    <x:row r="85">
      <x:c r="A85" s="17" t="str">
        <x:v>Investment in working capital</x:v>
      </x:c>
      <x:c r="B85" s="17" t="str">
        <x:v>$m</x:v>
      </x:c>
      <x:c r="C85" s="43" t="n">
        <x:v>52.77852904109585</x:v>
      </x:c>
      <x:c r="D85" s="43" t="n">
        <x:v>31.980363287671196</x:v>
      </x:c>
      <x:c r="E85" s="43" t="n">
        <x:v>36.96184765479455</x:v>
      </x:c>
      <x:c r="F85" s="43" t="n">
        <x:v>40.46442274208226</x:v>
      </x:c>
      <x:c r="G85" s="43" t="n">
        <x:v>45.61831237554736</x:v>
      </x:c>
      <x:c r="H85" s="17" t="str">
        <x:v>Schedule output</x:v>
      </x:c>
      <x:c r="I85" s="17" t="str">
        <x:v>DSO, DPO and operating balance-sheet schedule.</x:v>
      </x:c>
      <x:c r="J85" s="1"/>
      <x:c r="K85" s="1"/>
      <x:c r="L85" s="1"/>
      <x:c r="M85" s="1"/>
      <x:c r="N85" s="1"/>
      <x:c r="O85" s="1"/>
      <x:c r="P85" s="1"/>
      <x:c r="Q85" s="1"/>
      <x:c r="R85" s="1"/>
    </x:row>
    <x:row r="86">
      <x:c r="A86" s="17" t="str">
        <x:v>SBC accounting expense</x:v>
      </x:c>
      <x:c r="B86" s="17" t="str">
        <x:v>$m</x:v>
      </x:c>
      <x:c r="C86" s="43" t="n">
        <x:v>202.97228</x:v>
      </x:c>
      <x:c r="D86" s="43" t="n">
        <x:v>161.901</x:v>
      </x:c>
      <x:c r="E86" s="43" t="n">
        <x:v>186.10312537673224</x:v>
      </x:c>
      <x:c r="F86" s="43" t="n">
        <x:v>212.00929085060972</x:v>
      </x:c>
      <x:c r="G86" s="43" t="n">
        <x:v>240.28675378689843</x:v>
      </x:c>
      <x:c r="H86" s="17" t="str">
        <x:v>Schedule output</x:v>
      </x:c>
      <x:c r="I86" s="17" t="str">
        <x:v>Award schedule followed by the approved personnel-expense intensity.</x:v>
      </x:c>
      <x:c r="J86" s="1"/>
      <x:c r="K86" s="1"/>
      <x:c r="L86" s="1"/>
      <x:c r="M86" s="1"/>
      <x:c r="N86" s="1"/>
      <x:c r="O86" s="1"/>
      <x:c r="P86" s="1"/>
      <x:c r="Q86" s="1"/>
      <x:c r="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 ht="20" customHeight="1">
      <x:c r="A95" s="11" t="str">
        <x:v>Scenario transition assumptions</x:v>
      </x:c>
      <x:c r="B95" s="11" t="str">
        <x:v>Scenario transition assumptions</x:v>
      </x:c>
      <x:c r="C95" s="11" t="str">
        <x:v>Scenario transition assumptions</x:v>
      </x:c>
      <x:c r="D95" s="11" t="str">
        <x:v>Scenario transition assumptions</x:v>
      </x:c>
      <x:c r="E95" s="11" t="str">
        <x:v>Scenario transition assumptions</x:v>
      </x:c>
      <x:c r="F95" s="11" t="str">
        <x:v>Scenario transition assumptions</x:v>
      </x:c>
      <x:c r="G95" s="11" t="str">
        <x:v>Scenario transition assumptions</x:v>
      </x:c>
      <x:c r="H95" s="1"/>
      <x:c r="I95" s="11" t="str">
        <x:v>Common valuation inputs</x:v>
      </x:c>
      <x:c r="J95" s="11" t="str">
        <x:v>Common valuation inputs</x:v>
      </x:c>
      <x:c r="K95" s="11" t="str">
        <x:v>Common valuation inputs</x:v>
      </x:c>
      <x:c r="L95" s="11" t="str">
        <x:v>Common valuation inputs</x:v>
      </x:c>
      <x:c r="M95" s="11" t="str">
        <x:v>Common valuation inputs</x:v>
      </x:c>
      <x:c r="N95" s="1"/>
      <x:c r="O95" s="1"/>
      <x:c r="P95" s="1"/>
      <x:c r="Q95" s="1"/>
      <x:c r="R95" s="1"/>
    </x:row>
    <x:row r="96">
      <x:c r="A96" s="16" t="str">
        <x:v>Input</x:v>
      </x:c>
      <x:c r="B96" s="16" t="str">
        <x:v>Unit</x:v>
      </x:c>
      <x:c r="C96" s="16" t="str">
        <x:v>Bull</x:v>
      </x:c>
      <x:c r="D96" s="16" t="str">
        <x:v>Base</x:v>
      </x:c>
      <x:c r="E96" s="16" t="str">
        <x:v>Bear</x:v>
      </x:c>
      <x:c r="F96" s="16" t="str">
        <x:v>Decision / source</x:v>
      </x:c>
      <x:c r="G96" s="16" t="str">
        <x:v>Reason</x:v>
      </x:c>
      <x:c r="H96" s="1"/>
      <x:c r="I96" s="16" t="str">
        <x:v>Input</x:v>
      </x:c>
      <x:c r="J96" s="16" t="str">
        <x:v>Unit</x:v>
      </x:c>
      <x:c r="K96" s="16" t="str">
        <x:v>Value</x:v>
      </x:c>
      <x:c r="L96" s="16" t="str">
        <x:v>Source</x:v>
      </x:c>
      <x:c r="M96" s="16" t="str">
        <x:v>Use</x:v>
      </x:c>
      <x:c r="N96" s="1"/>
      <x:c r="O96" s="1"/>
      <x:c r="P96" s="1"/>
      <x:c r="Q96" s="1"/>
      <x:c r="R96" s="1"/>
    </x:row>
    <x:row r="97">
      <x:c r="A97" s="17" t="str">
        <x:v>Scenario probability</x:v>
      </x:c>
      <x:c r="B97" s="17" t="str">
        <x:v>%</x:v>
      </x:c>
      <x:c r="C97" s="26" t="n">
        <x:v>0.2</x:v>
      </x:c>
      <x:c r="D97" s="26" t="n">
        <x:v>0.5</x:v>
      </x:c>
      <x:c r="E97" s="26" t="n">
        <x:v>0.3</x:v>
      </x:c>
      <x:c r="F97" s="17" t="str">
        <x:v>Scenario weighting</x:v>
      </x:c>
      <x:c r="G97" s="17" t="str">
        <x:v>Used in the final target weighting.</x:v>
      </x:c>
      <x:c r="H97" s="1"/>
      <x:c r="I97" s="17" t="str">
        <x:v>Valuation date</x:v>
      </x:c>
      <x:c r="J97" s="17" t="str">
        <x:v>Date</x:v>
      </x:c>
      <x:c r="K97" s="61" t="n">
        <x:v>46255</x:v>
      </x:c>
      <x:c r="L97" s="17" t="str">
        <x:v>Reference-date convention</x:v>
      </x:c>
      <x:c r="M97" s="17" t="str">
        <x:v>Discounting origin</x:v>
      </x:c>
      <x:c r="N97" s="1"/>
      <x:c r="O97" s="1"/>
      <x:c r="P97" s="1"/>
      <x:c r="Q97" s="1"/>
      <x:c r="R97" s="1"/>
    </x:row>
    <x:row r="98">
      <x:c r="A98" s="17" t="str">
        <x:v>WACC</x:v>
      </x:c>
      <x:c r="B98" s="17" t="str">
        <x:v>%</x:v>
      </x:c>
      <x:c r="C98" s="26" t="n">
        <x:v>0.11</x:v>
      </x:c>
      <x:c r="D98" s="26" t="n">
        <x:v>0.11</x:v>
      </x:c>
      <x:c r="E98" s="26" t="n">
        <x:v>0.11</x:v>
      </x:c>
      <x:c r="F98" s="17" t="str">
        <x:v>Capital-market inputs</x:v>
      </x:c>
      <x:c r="G98" s="17" t="str">
        <x:v>Held common so operating cases do not also change the price of risk.</x:v>
      </x:c>
      <x:c r="H98" s="1"/>
      <x:c r="I98" s="17" t="str">
        <x:v>Target date</x:v>
      </x:c>
      <x:c r="J98" s="17" t="str">
        <x:v>Date</x:v>
      </x:c>
      <x:c r="K98" s="61" t="n">
        <x:v>46620</x:v>
      </x:c>
      <x:c r="L98" s="17" t="str">
        <x:v>12-month valuation horizon</x:v>
      </x:c>
      <x:c r="M98" s="17" t="str">
        <x:v>12-month target date</x:v>
      </x:c>
      <x:c r="N98" s="1"/>
      <x:c r="O98" s="1"/>
      <x:c r="P98" s="1"/>
      <x:c r="Q98" s="1"/>
      <x:c r="R98" s="1"/>
    </x:row>
    <x:row r="99">
      <x:c r="A99" s="17" t="str">
        <x:v>Perpetual growth</x:v>
      </x:c>
      <x:c r="B99" s="17" t="str">
        <x:v>%</x:v>
      </x:c>
      <x:c r="C99" s="26" t="n">
        <x:v>0.035</x:v>
      </x:c>
      <x:c r="D99" s="26" t="n">
        <x:v>0.03</x:v>
      </x:c>
      <x:c r="E99" s="26" t="n">
        <x:v>0.025</x:v>
      </x:c>
      <x:c r="F99" s="17" t="str">
        <x:v>Long-run nominal-growth calibration</x:v>
      </x:c>
      <x:c r="G99" s="17" t="str">
        <x:v>Scenario-specific mature nominal growth.</x:v>
      </x:c>
      <x:c r="H99" s="1"/>
      <x:c r="I99" s="17" t="str">
        <x:v>H1 FY2026 actual FCFF</x:v>
      </x:c>
      <x:c r="J99" s="17" t="str">
        <x:v>$m</x:v>
      </x:c>
      <x:c r="K99" s="25" t="n">
        <x:v>0.13400000000007495</x:v>
      </x:c>
      <x:c r="L99" s="17" t="str">
        <x:v>Stage 06 stub schedule</x:v>
      </x:c>
      <x:c r="M99" s="17" t="str">
        <x:v>Separates the remaining FY2026 cash flow</x:v>
      </x:c>
      <x:c r="N99" s="1"/>
      <x:c r="O99" s="1"/>
      <x:c r="P99" s="1"/>
      <x:c r="Q99" s="1"/>
      <x:c r="R99" s="1"/>
    </x:row>
    <x:row r="100">
      <x:c r="A100" s="17" t="str">
        <x:v>Final explicit year</x:v>
      </x:c>
      <x:c r="B100" s="17" t="str">
        <x:v>Year</x:v>
      </x:c>
      <x:c r="C100" s="56" t="n">
        <x:v>2040</x:v>
      </x:c>
      <x:c r="D100" s="56" t="n">
        <x:v>2040</x:v>
      </x:c>
      <x:c r="E100" s="56" t="n">
        <x:v>2036</x:v>
      </x:c>
      <x:c r="F100" s="17" t="str">
        <x:v>Transition-period design</x:v>
      </x:c>
      <x:c r="G100" s="17" t="str">
        <x:v>Bull and Base receive longer transitions; Bear matures sooner.</x:v>
      </x:c>
      <x:c r="H100" s="1"/>
      <x:c r="I100" s="17" t="str">
        <x:v>Remaining share of H2 FY2026</x:v>
      </x:c>
      <x:c r="J100" s="17" t="str">
        <x:v>%</x:v>
      </x:c>
      <x:c r="K100" s="62" t="n">
        <x:v>0.717391304347826</x:v>
      </x:c>
      <x:c r="L100" s="17" t="str">
        <x:v>132 remaining days / 184 H2 days</x:v>
      </x:c>
      <x:c r="M100" s="17" t="str">
        <x:v>Prorates the FY2026 stub</x:v>
      </x:c>
      <x:c r="N100" s="1"/>
      <x:c r="O100" s="1"/>
      <x:c r="P100" s="1"/>
      <x:c r="Q100" s="1"/>
      <x:c r="R100" s="1"/>
    </x:row>
    <x:row r="101">
      <x:c r="A101" s="17" t="str">
        <x:v>First mature year</x:v>
      </x:c>
      <x:c r="B101" s="17" t="str">
        <x:v>Year</x:v>
      </x:c>
      <x:c r="C101" s="56" t="n">
        <x:v>2041</x:v>
      </x:c>
      <x:c r="D101" s="56" t="n">
        <x:v>2041</x:v>
      </x:c>
      <x:c r="E101" s="56" t="n">
        <x:v>2037</x:v>
      </x:c>
      <x:c r="F101" s="17" t="str">
        <x:v>Final explicit year + 1</x:v>
      </x:c>
      <x:c r="G101" s="17" t="str">
        <x:v>Supplies the Gordon-growth numerator.</x:v>
      </x:c>
      <x:c r="H101" s="1"/>
      <x:c r="I101" s="17" t="str">
        <x:v>Post-NOL unlevered ETR</x:v>
      </x:c>
      <x:c r="J101" s="17" t="str">
        <x:v>%</x:v>
      </x:c>
      <x:c r="K101" s="62" t="n">
        <x:v>0.25</x:v>
      </x:c>
      <x:c r="L101" s="17" t="str">
        <x:v>Tax and NOL schedule</x:v>
      </x:c>
      <x:c r="M101" s="17" t="str">
        <x:v>Applied after the explicit NOL period</x:v>
      </x:c>
      <x:c r="N101" s="1"/>
      <x:c r="O101" s="1"/>
      <x:c r="P101" s="1"/>
      <x:c r="Q101" s="1"/>
      <x:c r="R101" s="1"/>
    </x:row>
    <x:row r="102">
      <x:c r="A102" s="17" t="str">
        <x:v>FY2030 revenue growth</x:v>
      </x:c>
      <x:c r="B102" s="17" t="str">
        <x:v>%</x:v>
      </x:c>
      <x:c r="C102" s="26" t="n">
        <x:v>0.19500000000000006</x:v>
      </x:c>
      <x:c r="D102" s="26" t="n">
        <x:v>0.17999999999999994</x:v>
      </x:c>
      <x:c r="E102" s="26" t="n">
        <x:v>0.1299999999999999</x:v>
      </x:c>
      <x:c r="F102" s="17" t="str">
        <x:v>Stage 05 scenarios</x:v>
      </x:c>
      <x:c r="G102" s="17" t="str">
        <x:v>Explicit forecast endpoint.</x:v>
      </x:c>
      <x:c r="H102" s="1"/>
      <x:c r="I102" s="17" t="str">
        <x:v>Prepaids / revenue</x:v>
      </x:c>
      <x:c r="J102" s="17" t="str">
        <x:v>%</x:v>
      </x:c>
      <x:c r="K102" s="62" t="n">
        <x:v>0.018</x:v>
      </x:c>
      <x:c r="L102" s="17" t="str">
        <x:v>Stage 05 WC schedule</x:v>
      </x:c>
      <x:c r="M102" s="17" t="str">
        <x:v>Working-capital driver</x:v>
      </x:c>
      <x:c r="N102" s="1"/>
      <x:c r="O102" s="1"/>
      <x:c r="P102" s="1"/>
      <x:c r="Q102" s="1"/>
      <x:c r="R102" s="1"/>
    </x:row>
    <x:row r="103">
      <x:c r="A103" s="17" t="str">
        <x:v>FY2031 transition growth</x:v>
      </x:c>
      <x:c r="B103" s="17" t="str">
        <x:v>%</x:v>
      </x:c>
      <x:c r="C103" s="26" t="n">
        <x:v>0.175</x:v>
      </x:c>
      <x:c r="D103" s="26" t="n">
        <x:v>0.16</x:v>
      </x:c>
      <x:c r="E103" s="26" t="n">
        <x:v>0.11</x:v>
      </x:c>
      <x:c r="F103" s="17" t="str">
        <x:v>Transition-period design</x:v>
      </x:c>
      <x:c r="G103" s="17" t="str">
        <x:v>First step after the Stage 05 forecast.</x:v>
      </x:c>
      <x:c r="H103" s="1"/>
      <x:c r="I103" s="17" t="str">
        <x:v>Other current assets / revenue</x:v>
      </x:c>
      <x:c r="J103" s="17" t="str">
        <x:v>%</x:v>
      </x:c>
      <x:c r="K103" s="62" t="n">
        <x:v>0.007</x:v>
      </x:c>
      <x:c r="L103" s="17" t="str">
        <x:v>Stage 05 WC schedule</x:v>
      </x:c>
      <x:c r="M103" s="17" t="str">
        <x:v>Working-capital driver</x:v>
      </x:c>
      <x:c r="N103" s="1"/>
      <x:c r="O103" s="1"/>
      <x:c r="P103" s="1"/>
      <x:c r="Q103" s="1"/>
      <x:c r="R103" s="1"/>
    </x:row>
    <x:row r="104">
      <x:c r="A104" s="17" t="str">
        <x:v>Final explicit-year growth</x:v>
      </x:c>
      <x:c r="B104" s="17" t="str">
        <x:v>%</x:v>
      </x:c>
      <x:c r="C104" s="26" t="n">
        <x:v>0.045</x:v>
      </x:c>
      <x:c r="D104" s="26" t="n">
        <x:v>0.04</x:v>
      </x:c>
      <x:c r="E104" s="26" t="n">
        <x:v>0.035</x:v>
      </x:c>
      <x:c r="F104" s="17" t="str">
        <x:v>Transition-period design</x:v>
      </x:c>
      <x:c r="G104" s="17" t="str">
        <x:v>Ends one percentage point above perpetual growth.</x:v>
      </x:c>
      <x:c r="H104" s="1"/>
      <x:c r="I104" s="17" t="str">
        <x:v>Accrued liabilities / revenue</x:v>
      </x:c>
      <x:c r="J104" s="17" t="str">
        <x:v>%</x:v>
      </x:c>
      <x:c r="K104" s="62" t="n">
        <x:v>0.115</x:v>
      </x:c>
      <x:c r="L104" s="17" t="str">
        <x:v>Stage 05 WC schedule</x:v>
      </x:c>
      <x:c r="M104" s="17" t="str">
        <x:v>Working-capital driver</x:v>
      </x:c>
      <x:c r="N104" s="1"/>
      <x:c r="O104" s="1"/>
      <x:c r="P104" s="1"/>
      <x:c r="Q104" s="1"/>
      <x:c r="R104" s="1"/>
    </x:row>
    <x:row r="105">
      <x:c r="A105" s="17" t="str">
        <x:v>Incremental gross margin</x:v>
      </x:c>
      <x:c r="B105" s="17" t="str">
        <x:v>%</x:v>
      </x:c>
      <x:c r="C105" s="26" t="n">
        <x:v>0.59</x:v>
      </x:c>
      <x:c r="D105" s="26" t="n">
        <x:v>0.56</x:v>
      </x:c>
      <x:c r="E105" s="26" t="n">
        <x:v>0.53</x:v>
      </x:c>
      <x:c r="F105" s="17" t="str">
        <x:v>Stage 05 scenarios</x:v>
      </x:c>
      <x:c r="G105" s="17" t="str">
        <x:v>Keeps scenario differences in revenue quality.</x:v>
      </x:c>
      <x:c r="H105" s="1"/>
      <x:c r="I105" s="17" t="str">
        <x:v>Deferred revenue / revenue</x:v>
      </x:c>
      <x:c r="J105" s="17" t="str">
        <x:v>%</x:v>
      </x:c>
      <x:c r="K105" s="62" t="n">
        <x:v>0.025</x:v>
      </x:c>
      <x:c r="L105" s="17" t="str">
        <x:v>Stage 05 WC schedule</x:v>
      </x:c>
      <x:c r="M105" s="17" t="str">
        <x:v>Working-capital driver</x:v>
      </x:c>
      <x:c r="N105" s="1"/>
      <x:c r="O105" s="1"/>
      <x:c r="P105" s="1"/>
      <x:c r="Q105" s="1"/>
      <x:c r="R105" s="1"/>
    </x:row>
    <x:row r="106">
      <x:c r="A106" s="17" t="str">
        <x:v>FY2030 incremental S&amp;M cost ratio</x:v>
      </x:c>
      <x:c r="B106" s="17" t="str">
        <x:v>%</x:v>
      </x:c>
      <x:c r="C106" s="26" t="n">
        <x:v>0.125</x:v>
      </x:c>
      <x:c r="D106" s="26" t="n">
        <x:v>0.145</x:v>
      </x:c>
      <x:c r="E106" s="26" t="n">
        <x:v>0.165</x:v>
      </x:c>
      <x:c r="F106" s="17" t="str">
        <x:v>Stage 05 scenarios</x:v>
      </x:c>
      <x:c r="G106" s="17" t="str">
        <x:v>Starting marginal commercial cost.</x:v>
      </x:c>
      <x:c r="H106" s="1"/>
      <x:c r="I106" s="17" t="str">
        <x:v>Other operating current liabilities / revenue</x:v>
      </x:c>
      <x:c r="J106" s="17" t="str">
        <x:v>%</x:v>
      </x:c>
      <x:c r="K106" s="62" t="n">
        <x:v>0.012</x:v>
      </x:c>
      <x:c r="L106" s="17" t="str">
        <x:v>Stage 05 WC schedule</x:v>
      </x:c>
      <x:c r="M106" s="17" t="str">
        <x:v>Working-capital driver</x:v>
      </x:c>
      <x:c r="N106" s="1"/>
      <x:c r="O106" s="1"/>
      <x:c r="P106" s="1"/>
      <x:c r="Q106" s="1"/>
      <x:c r="R106" s="1"/>
    </x:row>
    <x:row r="107">
      <x:c r="A107" s="17" t="str">
        <x:v>Mature incremental S&amp;M cost ratio</x:v>
      </x:c>
      <x:c r="B107" s="17" t="str">
        <x:v>%</x:v>
      </x:c>
      <x:c r="C107" s="26" t="n">
        <x:v>0.1719817244</x:v>
      </x:c>
      <x:c r="D107" s="26" t="n">
        <x:v>0.190944</x:v>
      </x:c>
      <x:c r="E107" s="26" t="n">
        <x:v>0.2132579847</x:v>
      </x:c>
      <x:c r="F107" s="17" t="str">
        <x:v>Mature-state calibration</x:v>
      </x:c>
      <x:c r="G107" s="17" t="str">
        <x:v>Stabilises S&amp;M intensity in maturity.</x:v>
      </x:c>
      <x:c r="H107" s="1"/>
      <x:c r="I107" s="17" t="str">
        <x:v>Opening pro forma cash</x:v>
      </x:c>
      <x:c r="J107" s="17" t="str">
        <x:v>$m</x:v>
      </x:c>
      <x:c r="K107" s="25" t="n">
        <x:v>359.952</x:v>
      </x:c>
      <x:c r="L107" s="17" t="str">
        <x:v>Stage 06 EV bridge</x:v>
      </x:c>
      <x:c r="M107" s="17" t="str">
        <x:v>Cash at valuation date</x:v>
      </x:c>
      <x:c r="N107" s="1"/>
      <x:c r="O107" s="1"/>
      <x:c r="P107" s="1"/>
      <x:c r="Q107" s="1"/>
      <x:c r="R107" s="1"/>
    </x:row>
    <x:row r="108">
      <x:c r="A108" s="17" t="str">
        <x:v>FY2030 R&amp;D elasticity</x:v>
      </x:c>
      <x:c r="B108" s="17" t="str">
        <x:v>x</x:v>
      </x:c>
      <x:c r="C108" s="44" t="n">
        <x:v>0.9</x:v>
      </x:c>
      <x:c r="D108" s="44" t="n">
        <x:v>1</x:v>
      </x:c>
      <x:c r="E108" s="44" t="n">
        <x:v>1.1</x:v>
      </x:c>
      <x:c r="F108" s="17" t="str">
        <x:v>Stage 05 scenarios</x:v>
      </x:c>
      <x:c r="G108" s="17" t="str">
        <x:v>Starting response of R&amp;D to revenue growth.</x:v>
      </x:c>
      <x:c r="H108" s="1"/>
      <x:c r="I108" s="17" t="str">
        <x:v>Gross debt</x:v>
      </x:c>
      <x:c r="J108" s="17" t="str">
        <x:v>$m</x:v>
      </x:c>
      <x:c r="K108" s="25" t="n">
        <x:v>250</x:v>
      </x:c>
      <x:c r="L108" s="17" t="str">
        <x:v>Stage 06 EV bridge</x:v>
      </x:c>
      <x:c r="M108" s="17" t="str">
        <x:v>Deducted from enterprise value</x:v>
      </x:c>
      <x:c r="N108" s="1"/>
      <x:c r="O108" s="1"/>
      <x:c r="P108" s="1"/>
      <x:c r="Q108" s="1"/>
      <x:c r="R108" s="1"/>
    </x:row>
    <x:row r="109">
      <x:c r="A109" s="17" t="str">
        <x:v>Mature R&amp;D elasticity</x:v>
      </x:c>
      <x:c r="B109" s="17" t="str">
        <x:v>x</x:v>
      </x:c>
      <x:c r="C109" s="44" t="n">
        <x:v>1</x:v>
      </x:c>
      <x:c r="D109" s="44" t="n">
        <x:v>1</x:v>
      </x:c>
      <x:c r="E109" s="44" t="n">
        <x:v>1</x:v>
      </x:c>
      <x:c r="F109" s="17" t="str">
        <x:v>Mature-state calibration</x:v>
      </x:c>
      <x:c r="G109" s="17" t="str">
        <x:v>Stabilises R&amp;D intensity in maturity.</x:v>
      </x:c>
      <x:c r="H109" s="1"/>
      <x:c r="I109" s="17" t="str">
        <x:v>Acquisition liabilities</x:v>
      </x:c>
      <x:c r="J109" s="17" t="str">
        <x:v>$m</x:v>
      </x:c>
      <x:c r="K109" s="25" t="n">
        <x:v>50.905</x:v>
      </x:c>
      <x:c r="L109" s="17" t="str">
        <x:v>Stage 06 EV bridge</x:v>
      </x:c>
      <x:c r="M109" s="17" t="str">
        <x:v>Debt-like claim</x:v>
      </x:c>
      <x:c r="N109" s="1"/>
      <x:c r="O109" s="1"/>
      <x:c r="P109" s="1"/>
      <x:c r="Q109" s="1"/>
      <x:c r="R109" s="1"/>
    </x:row>
    <x:row r="110">
      <x:c r="A110" s="17" t="str">
        <x:v>FY2030 G&amp;A elasticity</x:v>
      </x:c>
      <x:c r="B110" s="17" t="str">
        <x:v>x</x:v>
      </x:c>
      <x:c r="C110" s="44" t="n">
        <x:v>0.5</x:v>
      </x:c>
      <x:c r="D110" s="44" t="n">
        <x:v>0.6</x:v>
      </x:c>
      <x:c r="E110" s="44" t="n">
        <x:v>1</x:v>
      </x:c>
      <x:c r="F110" s="17" t="str">
        <x:v>Stage 05 scenarios</x:v>
      </x:c>
      <x:c r="G110" s="17" t="str">
        <x:v>Starting overhead scalability.</x:v>
      </x:c>
      <x:c r="H110" s="1"/>
      <x:c r="I110" s="17" t="str">
        <x:v>Preferred stock / NCI</x:v>
      </x:c>
      <x:c r="J110" s="17" t="str">
        <x:v>$m</x:v>
      </x:c>
      <x:c r="K110" s="25" t="n">
        <x:v>0</x:v>
      </x:c>
      <x:c r="L110" s="17" t="str">
        <x:v>Filed balance-sheet review</x:v>
      </x:c>
      <x:c r="M110" s="17" t="str">
        <x:v>No separate claim identified</x:v>
      </x:c>
      <x:c r="N110" s="1"/>
      <x:c r="O110" s="1"/>
      <x:c r="P110" s="1"/>
      <x:c r="Q110" s="1"/>
      <x:c r="R110" s="1"/>
    </x:row>
    <x:row r="111">
      <x:c r="A111" s="17" t="str">
        <x:v>Mature G&amp;A elasticity</x:v>
      </x:c>
      <x:c r="B111" s="17" t="str">
        <x:v>x</x:v>
      </x:c>
      <x:c r="C111" s="44" t="n">
        <x:v>1</x:v>
      </x:c>
      <x:c r="D111" s="44" t="n">
        <x:v>1</x:v>
      </x:c>
      <x:c r="E111" s="44" t="n">
        <x:v>1</x:v>
      </x:c>
      <x:c r="F111" s="17" t="str">
        <x:v>Mature-state calibration</x:v>
      </x:c>
      <x:c r="G111" s="17" t="str">
        <x:v>Stabilises G&amp;A intensity in maturity.</x:v>
      </x:c>
      <x:c r="H111" s="1"/>
      <x:c r="I111" s="17" t="str">
        <x:v>Common-equity claims</x:v>
      </x:c>
      <x:c r="J111" s="17" t="str">
        <x:v>m shares</x:v>
      </x:c>
      <x:c r="K111" s="27" t="n">
        <x:v>257.413819</x:v>
      </x:c>
      <x:c r="L111" s="17" t="str">
        <x:v>Dilution analysis</x:v>
      </x:c>
      <x:c r="M111" s="17" t="str">
        <x:v>Point-in-time per-share denominator</x:v>
      </x:c>
      <x:c r="N111" s="1"/>
      <x:c r="O111" s="1"/>
      <x:c r="P111" s="1"/>
      <x:c r="Q111" s="1"/>
      <x:c r="R111" s="1"/>
    </x:row>
    <x:row r="112">
      <x:c r="A112" s="17" t="str">
        <x:v>DSO</x:v>
      </x:c>
      <x:c r="B112" s="17" t="str">
        <x:v>Days</x:v>
      </x:c>
      <x:c r="C112" s="57" t="n">
        <x:v>82.5</x:v>
      </x:c>
      <x:c r="D112" s="57" t="n">
        <x:v>85</x:v>
      </x:c>
      <x:c r="E112" s="57" t="n">
        <x:v>87.5</x:v>
      </x:c>
      <x:c r="F112" s="17" t="str">
        <x:v>Historical collection range</x:v>
      </x:c>
      <x:c r="G112" s="17" t="str">
        <x:v>Bull collects faster; Bear collects more slowly.</x:v>
      </x:c>
      <x:c r="H112" s="1"/>
      <x:c r="I112" s="17" t="str">
        <x:v>Reference price</x:v>
      </x:c>
      <x:c r="J112" s="17" t="str">
        <x:v>$/share</x:v>
      </x:c>
      <x:c r="K112" s="28" t="n">
        <x:v>29.07</x:v>
      </x:c>
      <x:c r="L112" s="17" t="str">
        <x:v>21 Aug 2026 close</x:v>
      </x:c>
      <x:c r="M112" s="17" t="str">
        <x:v>Market comparison</x:v>
      </x:c>
      <x:c r="N112" s="1"/>
      <x:c r="O112" s="1"/>
      <x:c r="P112" s="1"/>
      <x:c r="Q112" s="1"/>
      <x:c r="R112" s="1"/>
    </x:row>
    <x:row r="113">
      <x:c r="A113" s="17" t="str">
        <x:v>DPO</x:v>
      </x:c>
      <x:c r="B113" s="17" t="str">
        <x:v>Days</x:v>
      </x:c>
      <x:c r="C113" s="57" t="n">
        <x:v>23.5</x:v>
      </x:c>
      <x:c r="D113" s="57" t="n">
        <x:v>22</x:v>
      </x:c>
      <x:c r="E113" s="57" t="n">
        <x:v>20.5</x:v>
      </x:c>
      <x:c r="F113" s="17" t="str">
        <x:v>Historical supplier-payment range</x:v>
      </x:c>
      <x:c r="G113" s="17" t="str">
        <x:v>Bull retains more supplier financing.</x:v>
      </x:c>
      <x:c r="H113" s="1"/>
      <x:c r="I113" s="17" t="str">
        <x:v>Buy threshold</x:v>
      </x:c>
      <x:c r="J113" s="17" t="str">
        <x:v>%</x:v>
      </x:c>
      <x:c r="K113" s="62" t="n">
        <x:v>0.2</x:v>
      </x:c>
      <x:c r="L113" s="17" t="str">
        <x:v>Rating convention</x:v>
      </x:c>
      <x:c r="M113" s="17" t="str">
        <x:v>Minimum return for Buy / Outperform</x:v>
      </x:c>
      <x:c r="N113" s="1"/>
      <x:c r="O113" s="1"/>
      <x:c r="P113" s="1"/>
      <x:c r="Q113" s="1"/>
      <x:c r="R113" s="1"/>
    </x:row>
    <x:row r="114">
      <x:c r="A114" s="17" t="str">
        <x:v>Terminal economic ROIC</x:v>
      </x:c>
      <x:c r="B114" s="17" t="str">
        <x:v>%</x:v>
      </x:c>
      <x:c r="C114" s="26" t="n">
        <x:v>0.3</x:v>
      </x:c>
      <x:c r="D114" s="26" t="n">
        <x:v>0.25</x:v>
      </x:c>
      <x:c r="E114" s="26" t="n">
        <x:v>0.2</x:v>
      </x:c>
      <x:c r="F114" s="17" t="str">
        <x:v>Long-run reinvestment cross-check</x:v>
      </x:c>
      <x:c r="G114" s="17" t="str">
        <x:v>Independent reinvestment check, not a cash-flow input.</x:v>
      </x:c>
      <x:c r="H114" s="1"/>
      <x:c r="I114" s="17" t="str">
        <x:v>Sell threshold</x:v>
      </x:c>
      <x:c r="J114" s="17" t="str">
        <x:v>%</x:v>
      </x:c>
      <x:c r="K114" s="62" t="n">
        <x:v>-0.15</x:v>
      </x:c>
      <x:c r="L114" s="17" t="str">
        <x:v>Publication rating convention</x:v>
      </x:c>
      <x:c r="M114" s="17" t="str">
        <x:v>Maximum return for Sell / Avoid</x:v>
      </x:c>
      <x:c r="N114" s="1"/>
      <x:c r="O114" s="1"/>
      <x:c r="P114" s="1"/>
      <x:c r="Q114" s="1"/>
      <x:c r="R114" s="1"/>
    </x:row>
    <x:row r="115">
      <x:c r="A115" s="17" t="str">
        <x:v>Source current value/share</x:v>
      </x:c>
      <x:c r="B115" s="17" t="str">
        <x:v>$/share</x:v>
      </x:c>
      <x:c r="C115" s="28" t="n">
        <x:v>49.580877015650046</x:v>
      </x:c>
      <x:c r="D115" s="28" t="n">
        <x:v>30.659611402773315</x:v>
      </x:c>
      <x:c r="E115" s="28" t="n">
        <x:v>8.692531721667882</x:v>
      </x:c>
      <x:c r="F115" s="17" t="str">
        <x:v>Stage 06 control</x:v>
      </x:c>
      <x:c r="G115" s="17" t="str">
        <x:v>Checks the rebuilt publication DCF.</x:v>
      </x:c>
      <x:c r="H115" s="1"/>
      <x:c r="I115" s="17" t="str">
        <x:v>10-year Treasury</x:v>
      </x:c>
      <x:c r="J115" s="17" t="str">
        <x:v>%</x:v>
      </x:c>
      <x:c r="K115" s="62" t="n">
        <x:v>0.0474</x:v>
      </x:c>
      <x:c r="L115" s="17" t="str">
        <x:v>Observed par yield</x:v>
      </x:c>
      <x:c r="M115" s="17" t="str">
        <x:v>Risk-free rate</x:v>
      </x:c>
      <x:c r="N115" s="1"/>
      <x:c r="O115" s="1"/>
      <x:c r="P115" s="1"/>
      <x:c r="Q115" s="1"/>
      <x:c r="R115" s="1"/>
    </x:row>
    <x:row r="116">
      <x:c r="A116" s="17" t="str">
        <x:v>Source target value/share</x:v>
      </x:c>
      <x:c r="B116" s="17" t="str">
        <x:v>$/share</x:v>
      </x:c>
      <x:c r="C116" s="28" t="n">
        <x:v>54.97769819324877</x:v>
      </x:c>
      <x:c r="D116" s="28" t="n">
        <x:v>33.983781491034705</x:v>
      </x:c>
      <x:c r="E116" s="28" t="n">
        <x:v>9.60994079515178</x:v>
      </x:c>
      <x:c r="F116" s="17" t="str">
        <x:v>Stage 07 control</x:v>
      </x:c>
      <x:c r="G116" s="17" t="str">
        <x:v>Checks the rebuilt 12-month DCF.</x:v>
      </x:c>
      <x:c r="H116" s="1"/>
      <x:c r="I116" s="17" t="str">
        <x:v>Equity risk premium</x:v>
      </x:c>
      <x:c r="J116" s="17" t="str">
        <x:v>%</x:v>
      </x:c>
      <x:c r="K116" s="62" t="n">
        <x:v>0.0428</x:v>
      </x:c>
      <x:c r="L116" s="17" t="str">
        <x:v>Damodaran implied ERP</x:v>
      </x:c>
      <x:c r="M116" s="17" t="str">
        <x:v>Equity risk premium</x:v>
      </x:c>
      <x:c r="N116" s="1"/>
      <x:c r="O116" s="1"/>
      <x:c r="P116" s="1"/>
      <x:c r="Q116" s="1"/>
      <x:c r="R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7" t="str">
        <x:v>Equity beta</x:v>
      </x:c>
      <x:c r="J117" s="17" t="str">
        <x:v>x</x:v>
      </x:c>
      <x:c r="K117" s="44" t="n">
        <x:v>1.5</x:v>
      </x:c>
      <x:c r="L117" s="17" t="str">
        <x:v>Analyst triangulation</x:v>
      </x:c>
      <x:c r="M117" s="17" t="str">
        <x:v>Equity risk</x:v>
      </x:c>
      <x:c r="N117" s="1"/>
      <x:c r="O117" s="1"/>
      <x:c r="P117" s="1"/>
      <x:c r="Q117" s="1"/>
      <x:c r="R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7" t="str">
        <x:v>SOFR</x:v>
      </x:c>
      <x:c r="J118" s="17" t="str">
        <x:v>%</x:v>
      </x:c>
      <x:c r="K118" s="62" t="n">
        <x:v>0.0363</x:v>
      </x:c>
      <x:c r="L118" s="17" t="str">
        <x:v>Observed reference rate</x:v>
      </x:c>
      <x:c r="M118" s="17" t="str">
        <x:v>Debt base rate</x:v>
      </x:c>
      <x:c r="N118" s="1"/>
      <x:c r="O118" s="1"/>
      <x:c r="P118" s="1"/>
      <x:c r="Q118" s="1"/>
      <x:c r="R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7" t="str">
        <x:v>Selected loan margin</x:v>
      </x:c>
      <x:c r="J119" s="17" t="str">
        <x:v>%</x:v>
      </x:c>
      <x:c r="K119" s="62" t="n">
        <x:v>0.0175</x:v>
      </x:c>
      <x:c r="L119" s="17" t="str">
        <x:v>Credit agreement</x:v>
      </x:c>
      <x:c r="M119" s="17" t="str">
        <x:v>Debt spread</x:v>
      </x:c>
      <x:c r="N119" s="1"/>
      <x:c r="O119" s="1"/>
      <x:c r="P119" s="1"/>
      <x:c r="Q119" s="1"/>
      <x:c r="R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7" t="str">
        <x:v>Marginal tax rate</x:v>
      </x:c>
      <x:c r="J120" s="17" t="str">
        <x:v>%</x:v>
      </x:c>
      <x:c r="K120" s="62" t="n">
        <x:v>0.25</x:v>
      </x:c>
      <x:c r="L120" s="17" t="str">
        <x:v>Tax-rate calibration</x:v>
      </x:c>
      <x:c r="M120" s="17" t="str">
        <x:v>Interest tax shield in WACC</x:v>
      </x:c>
      <x:c r="N120" s="1"/>
      <x:c r="O120" s="1"/>
      <x:c r="P120" s="1"/>
      <x:c r="Q120" s="1"/>
      <x:c r="R120" s="1"/>
    </x:row>
    <x:row r="121" ht="20" customHeight="1">
      <x:c r="A121" s="11" t="str">
        <x:v>FY2026–FY2030 scenario schedule outputs</x:v>
      </x:c>
      <x:c r="B121" s="11" t="str">
        <x:v>FY2026–FY2030 scenario schedule outputs</x:v>
      </x:c>
      <x:c r="C121" s="11" t="str">
        <x:v>FY2026–FY2030 scenario schedule outputs</x:v>
      </x:c>
      <x:c r="D121" s="11" t="str">
        <x:v>FY2026–FY2030 scenario schedule outputs</x:v>
      </x:c>
      <x:c r="E121" s="11" t="str">
        <x:v>FY2026–FY2030 scenario schedule outputs</x:v>
      </x:c>
      <x:c r="F121" s="11" t="str">
        <x:v>FY2026–FY2030 scenario schedule outputs</x:v>
      </x:c>
      <x:c r="G121" s="11" t="str">
        <x:v>FY2026–FY2030 scenario schedule outputs</x:v>
      </x:c>
      <x:c r="H121" s="11" t="str">
        <x:v>FY2026–FY2030 scenario schedule outputs</x:v>
      </x:c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</x:row>
    <x:row r="122" ht="20" customHeight="1">
      <x:c r="A122" s="11" t="str">
        <x:v>Bull scenario source schedule</x:v>
      </x:c>
      <x:c r="B122" s="11" t="str">
        <x:v>Bull scenario source schedule</x:v>
      </x:c>
      <x:c r="C122" s="11" t="str">
        <x:v>Bull scenario source schedule</x:v>
      </x:c>
      <x:c r="D122" s="11" t="str">
        <x:v>Bull scenario source schedule</x:v>
      </x:c>
      <x:c r="E122" s="11" t="str">
        <x:v>Bull scenario source schedule</x:v>
      </x:c>
      <x:c r="F122" s="11" t="str">
        <x:v>Bull scenario source schedule</x:v>
      </x:c>
      <x:c r="G122" s="11" t="str">
        <x:v>Bull scenario source schedule</x:v>
      </x:c>
      <x:c r="H122" s="11" t="str">
        <x:v>Bull scenario source schedule</x:v>
      </x:c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</x:row>
    <x:row r="123">
      <x:c r="A123" s="15" t="str">
        <x:v>Line item</x:v>
      </x:c>
      <x:c r="B123" s="15" t="str">
        <x:v>Unit</x:v>
      </x:c>
      <x:c r="C123" s="15" t="str">
        <x:v>FY2026E</x:v>
      </x:c>
      <x:c r="D123" s="15" t="str">
        <x:v>FY2027E</x:v>
      </x:c>
      <x:c r="E123" s="15" t="str">
        <x:v>FY2028E</x:v>
      </x:c>
      <x:c r="F123" s="15" t="str">
        <x:v>FY2029E</x:v>
      </x:c>
      <x:c r="G123" s="15" t="str">
        <x:v>FY2030E</x:v>
      </x:c>
      <x:c r="H123" s="15" t="str">
        <x:v>Source</x:v>
      </x:c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</x:row>
    <x:row r="124">
      <x:c r="A124" s="1" t="str">
        <x:v>Revenue</x:v>
      </x:c>
      <x:c r="B124" s="1" t="str">
        <x:v>$m</x:v>
      </x:c>
      <x:c r="C124" s="36" t="n">
        <x:v>1824</x:v>
      </x:c>
      <x:c r="D124" s="36" t="n">
        <x:v>2252.64</x:v>
      </x:c>
      <x:c r="E124" s="36" t="n">
        <x:v>2770.7472</x:v>
      </x:c>
      <x:c r="F124" s="36" t="n">
        <x:v>3338.750376</x:v>
      </x:c>
      <x:c r="G124" s="36" t="n">
        <x:v>3989.80669932</x:v>
      </x:c>
      <x:c r="H124" s="1" t="str">
        <x:v>Approved Stage 05 scenario schedule</x:v>
      </x:c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</x:row>
    <x:row r="125">
      <x:c r="A125" s="1" t="str">
        <x:v>Gross profit</x:v>
      </x:c>
      <x:c r="B125" s="1" t="str">
        <x:v>$m</x:v>
      </x:c>
      <x:c r="C125" s="36" t="n">
        <x:v>1081.66035</x:v>
      </x:c>
      <x:c r="D125" s="36" t="n">
        <x:v>1338.84435</x:v>
      </x:c>
      <x:c r="E125" s="36" t="n">
        <x:v>1644.5275980000001</x:v>
      </x:c>
      <x:c r="F125" s="36" t="n">
        <x:v>1979.64947184</x:v>
      </x:c>
      <x:c r="G125" s="36" t="n">
        <x:v>2363.7727025987997</x:v>
      </x:c>
      <x:c r="H125" s="1" t="str">
        <x:v>Approved Stage 05 scenario schedule</x:v>
      </x:c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</x:row>
    <x:row r="126">
      <x:c r="A126" s="1" t="str">
        <x:v>S&amp;M</x:v>
      </x:c>
      <x:c r="B126" s="1" t="str">
        <x:v>$m</x:v>
      </x:c>
      <x:c r="C126" s="36" t="n">
        <x:v>429.3952</x:v>
      </x:c>
      <x:c r="D126" s="36" t="n">
        <x:v>491.548</x:v>
      </x:c>
      <x:c r="E126" s="36" t="n">
        <x:v>561.492472</x:v>
      </x:c>
      <x:c r="F126" s="36" t="n">
        <x:v>635.33288488</x:v>
      </x:c>
      <x:c r="G126" s="36" t="n">
        <x:v>716.7149252950001</x:v>
      </x:c>
      <x:c r="H126" s="1" t="str">
        <x:v>Approved Stage 05 scenario schedule</x:v>
      </x:c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</x:row>
    <x:row r="127">
      <x:c r="A127" s="1" t="str">
        <x:v>R&amp;D</x:v>
      </x:c>
      <x:c r="B127" s="1" t="str">
        <x:v>$m</x:v>
      </x:c>
      <x:c r="C127" s="36" t="n">
        <x:v>178.72924999999998</x:v>
      </x:c>
      <x:c r="D127" s="36" t="n">
        <x:v>210.90051499999996</x:v>
      </x:c>
      <x:c r="E127" s="36" t="n">
        <x:v>254.55692160499996</x:v>
      </x:c>
      <x:c r="F127" s="36" t="n">
        <x:v>301.5226736411224</x:v>
      </x:c>
      <x:c r="G127" s="36" t="n">
        <x:v>354.4399028651394</x:v>
      </x:c>
      <x:c r="H127" s="1" t="str">
        <x:v>Approved Stage 05 scenario schedule</x:v>
      </x:c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</x:row>
    <x:row r="128">
      <x:c r="A128" s="1" t="str">
        <x:v>G&amp;A</x:v>
      </x:c>
      <x:c r="B128" s="1" t="str">
        <x:v>$m</x:v>
      </x:c>
      <x:c r="C128" s="36" t="n">
        <x:v>298.624</x:v>
      </x:c>
      <x:c r="D128" s="36" t="n">
        <x:v>328.48640000000006</x:v>
      </x:c>
      <x:c r="E128" s="36" t="n">
        <x:v>366.26233600000006</x:v>
      </x:c>
      <x:c r="F128" s="36" t="n">
        <x:v>403.8042254400001</x:v>
      </x:c>
      <x:c r="G128" s="36" t="n">
        <x:v>443.17513742040006</x:v>
      </x:c>
      <x:c r="H128" s="1" t="str">
        <x:v>Approved Stage 05 scenario schedule</x:v>
      </x:c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</x:row>
    <x:row r="129">
      <x:c r="A129" s="1" t="str">
        <x:v>Operating fixed investment</x:v>
      </x:c>
      <x:c r="B129" s="1" t="str">
        <x:v>$m</x:v>
      </x:c>
      <x:c r="C129" s="36" t="n">
        <x:v>40.21</x:v>
      </x:c>
      <x:c r="D129" s="36" t="n">
        <x:v>44.721880000000006</x:v>
      </x:c>
      <x:c r="E129" s="36" t="n">
        <x:v>48.849416000000005</x:v>
      </x:c>
      <x:c r="F129" s="36" t="n">
        <x:v>53.36213344000001</x:v>
      </x:c>
      <x:c r="G129" s="36" t="n">
        <x:v>58.172989409920014</x:v>
      </x:c>
      <x:c r="H129" s="1" t="str">
        <x:v>Approved Stage 05 scenario schedule</x:v>
      </x:c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</x:row>
    <x:row r="130">
      <x:c r="A130" s="1" t="str">
        <x:v>D&amp;A</x:v>
      </x:c>
      <x:c r="B130" s="1" t="str">
        <x:v>$m</x:v>
      </x:c>
      <x:c r="C130" s="36" t="n">
        <x:v>91.80856666666666</x:v>
      </x:c>
      <x:c r="D130" s="36" t="n">
        <x:v>85.13637333333332</x:v>
      </x:c>
      <x:c r="E130" s="36" t="n">
        <x:v>76.6240888</x:v>
      </x:c>
      <x:c r="F130" s="36" t="n">
        <x:v>74.01357313066666</x:v>
      </x:c>
      <x:c r="G130" s="36" t="n">
        <x:v>75.56277967699201</x:v>
      </x:c>
      <x:c r="H130" s="1" t="str">
        <x:v>Approved Stage 05 scenario schedule</x:v>
      </x:c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</x:row>
    <x:row r="131">
      <x:c r="A131" s="1" t="str">
        <x:v>ETR</x:v>
      </x:c>
      <x:c r="B131" s="1" t="str">
        <x:v>%</x:v>
      </x:c>
      <x:c r="C131" s="41" t="n">
        <x:v>0</x:v>
      </x:c>
      <x:c r="D131" s="41" t="n">
        <x:v>0.04259605674943057</x:v>
      </x:c>
      <x:c r="E131" s="41" t="n">
        <x:v>0.23607079270512252</x:v>
      </x:c>
      <x:c r="F131" s="41" t="n">
        <x:v>0.25</x:v>
      </x:c>
      <x:c r="G131" s="41" t="n">
        <x:v>0.25</x:v>
      </x:c>
      <x:c r="H131" s="1" t="str">
        <x:v>Approved Stage 05 scenario schedule</x:v>
      </x:c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</x:row>
    <x:row r="132">
      <x:c r="A132" s="1" t="str">
        <x:v>Ending working capital</x:v>
      </x:c>
      <x:c r="B132" s="1" t="str">
        <x:v>$m</x:v>
      </x:c>
      <x:c r="C132" s="36" t="n">
        <x:v>144.85982979452052</x:v>
      </x:c>
      <x:c r="D132" s="36" t="n">
        <x:v>175.37474455479446</x:v>
      </x:c>
      <x:c r="E132" s="36" t="n">
        <x:v>211.003709309589</x:v>
      </x:c>
      <x:c r="F132" s="36" t="n">
        <x:v>248.62852467616432</x:v>
      </x:c>
      <x:c r="G132" s="36" t="n">
        <x:v>290.4103129423923</x:v>
      </x:c>
      <x:c r="H132" s="1" t="str">
        <x:v>Approved Stage 05 scenario schedule</x:v>
      </x:c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</x:row>
    <x:row r="133">
      <x:c r="A133" s="1" t="str">
        <x:v>Investment in working capital</x:v>
      </x:c>
      <x:c r="B133" s="1" t="str">
        <x:v>$m</x:v>
      </x:c>
      <x:c r="C133" s="36" t="n">
        <x:v>50.34182979452049</x:v>
      </x:c>
      <x:c r="D133" s="36" t="n">
        <x:v>30.51491476027394</x:v>
      </x:c>
      <x:c r="E133" s="36" t="n">
        <x:v>35.62896475479454</x:v>
      </x:c>
      <x:c r="F133" s="36" t="n">
        <x:v>37.62481536657532</x:v>
      </x:c>
      <x:c r="G133" s="36" t="n">
        <x:v>41.78178826622798</x:v>
      </x:c>
      <x:c r="H133" s="1" t="str">
        <x:v>Approved Stage 05 scenario schedule</x:v>
      </x:c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</x:row>
    <x:row r="134">
      <x:c r="A134" s="1" t="str">
        <x:v>FCFF</x:v>
      </x:c>
      <x:c r="B134" s="1" t="str">
        <x:v>$m</x:v>
      </x:c>
      <x:c r="C134" s="36" t="n">
        <x:v>75.94207020547967</x:v>
      </x:c>
      <x:c r="D134" s="36" t="n">
        <x:v>223.1833862627284</x:v>
      </x:c>
      <x:c r="E134" s="36" t="n">
        <x:v>286.71053057063506</x:v>
      </x:c>
      <x:c r="F134" s="36" t="n">
        <x:v>406.75871038524934</x:v>
      </x:c>
      <x:c r="G134" s="36" t="n">
        <x:v>556.0179700067953</x:v>
      </x:c>
      <x:c r="H134" s="1" t="str">
        <x:v>Approved Stage 05 scenario schedule</x:v>
      </x:c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</x:row>
    <x:row r="135">
      <x:c r="A135" s="1" t="str">
        <x:v>SBC expense</x:v>
      </x:c>
      <x:c r="B135" s="1" t="str">
        <x:v>$m</x:v>
      </x:c>
      <x:c r="C135" s="36" t="n">
        <x:v>202.97228</x:v>
      </x:c>
      <x:c r="D135" s="36" t="n">
        <x:v>161.901</x:v>
      </x:c>
      <x:c r="E135" s="36" t="n">
        <x:v>183.55061205926089</x:v>
      </x:c>
      <x:c r="F135" s="36" t="n">
        <x:v>208.1337076741287</x:v>
      </x:c>
      <x:c r="G135" s="36" t="n">
        <x:v>235.09552098823397</x:v>
      </x:c>
      <x:c r="H135" s="1" t="str">
        <x:v>Approved Stage 05 scenario schedule</x:v>
      </x:c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</x:row>
    <x:row r="137" ht="20" customHeight="1">
      <x:c r="A137" s="11" t="str">
        <x:v>Base scenario source schedule</x:v>
      </x:c>
      <x:c r="B137" s="11" t="str">
        <x:v>Base scenario source schedule</x:v>
      </x:c>
      <x:c r="C137" s="11" t="str">
        <x:v>Base scenario source schedule</x:v>
      </x:c>
      <x:c r="D137" s="11" t="str">
        <x:v>Base scenario source schedule</x:v>
      </x:c>
      <x:c r="E137" s="11" t="str">
        <x:v>Base scenario source schedule</x:v>
      </x:c>
      <x:c r="F137" s="11" t="str">
        <x:v>Base scenario source schedule</x:v>
      </x:c>
      <x:c r="G137" s="11" t="str">
        <x:v>Base scenario source schedule</x:v>
      </x:c>
      <x:c r="H137" s="11" t="str">
        <x:v>Base scenario source schedule</x:v>
      </x:c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</x:row>
    <x:row r="138">
      <x:c r="A138" s="15" t="str">
        <x:v>Line item</x:v>
      </x:c>
      <x:c r="B138" s="15" t="str">
        <x:v>Unit</x:v>
      </x:c>
      <x:c r="C138" s="15" t="str">
        <x:v>FY2026E</x:v>
      </x:c>
      <x:c r="D138" s="15" t="str">
        <x:v>FY2027E</x:v>
      </x:c>
      <x:c r="E138" s="15" t="str">
        <x:v>FY2028E</x:v>
      </x:c>
      <x:c r="F138" s="15" t="str">
        <x:v>FY2029E</x:v>
      </x:c>
      <x:c r="G138" s="15" t="str">
        <x:v>FY2030E</x:v>
      </x:c>
      <x:c r="H138" s="15" t="str">
        <x:v>Source</x:v>
      </x:c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</x:row>
    <x:row r="139">
      <x:c r="A139" s="1" t="str">
        <x:v>Revenue</x:v>
      </x:c>
      <x:c r="B139" s="1" t="str">
        <x:v>$m</x:v>
      </x:c>
      <x:c r="C139" s="36" t="n">
        <x:v>1818</x:v>
      </x:c>
      <x:c r="D139" s="36" t="n">
        <x:v>2217.96</x:v>
      </x:c>
      <x:c r="E139" s="36" t="n">
        <x:v>2683.7316</x:v>
      </x:c>
      <x:c r="F139" s="36" t="n">
        <x:v>3193.640604</x:v>
      </x:c>
      <x:c r="G139" s="36" t="n">
        <x:v>3768.49591272</x:v>
      </x:c>
      <x:c r="H139" s="1" t="str">
        <x:v>Approved Stage 05 scenario schedule</x:v>
      </x:c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</x:row>
    <x:row r="140">
      <x:c r="A140" s="1" t="str">
        <x:v>Gross profit</x:v>
      </x:c>
      <x:c r="B140" s="1" t="str">
        <x:v>$m</x:v>
      </x:c>
      <x:c r="C140" s="36" t="n">
        <x:v>1068.30105</x:v>
      </x:c>
      <x:c r="D140" s="36" t="n">
        <x:v>1296.27825</x:v>
      </x:c>
      <x:c r="E140" s="36" t="n">
        <x:v>1557.1103460000002</x:v>
      </x:c>
      <x:c r="F140" s="36" t="n">
        <x:v>1842.6593882400002</x:v>
      </x:c>
      <x:c r="G140" s="36" t="n">
        <x:v>2164.5783611232005</x:v>
      </x:c>
      <x:c r="H140" s="1" t="str">
        <x:v>Approved Stage 05 scenario schedule</x:v>
      </x:c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</x:row>
    <x:row r="141">
      <x:c r="A141" s="1" t="str">
        <x:v>S&amp;M</x:v>
      </x:c>
      <x:c r="B141" s="1" t="str">
        <x:v>$m</x:v>
      </x:c>
      <x:c r="C141" s="36" t="n">
        <x:v>433.524</x:v>
      </x:c>
      <x:c r="D141" s="36" t="n">
        <x:v>499.5174</x:v>
      </x:c>
      <x:c r="E141" s="36" t="n">
        <x:v>571.711998</x:v>
      </x:c>
      <x:c r="F141" s="36" t="n">
        <x:v>648.1983486</x:v>
      </x:c>
      <x:c r="G141" s="36" t="n">
        <x:v>731.5523683644001</x:v>
      </x:c>
      <x:c r="H141" s="1" t="str">
        <x:v>Approved Stage 05 scenario schedule</x:v>
      </x:c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>
      <x:c r="A142" s="1" t="str">
        <x:v>R&amp;D</x:v>
      </x:c>
      <x:c r="B142" s="1" t="str">
        <x:v>$m</x:v>
      </x:c>
      <x:c r="C142" s="36" t="n">
        <x:v>178.72924999999998</x:v>
      </x:c>
      <x:c r="D142" s="36" t="n">
        <x:v>205.53863749999996</x:v>
      </x:c>
      <x:c r="E142" s="36" t="n">
        <x:v>248.70175137499996</x:v>
      </x:c>
      <x:c r="F142" s="36" t="n">
        <x:v>295.9550841362499</x:v>
      </x:c>
      <x:c r="G142" s="36" t="n">
        <x:v>349.22699928077486</x:v>
      </x:c>
      <x:c r="H142" s="1" t="str">
        <x:v>Approved Stage 05 scenario schedule</x:v>
      </x:c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>
      <x:c r="A143" s="1" t="str">
        <x:v>G&amp;A</x:v>
      </x:c>
      <x:c r="B143" s="1" t="str">
        <x:v>$m</x:v>
      </x:c>
      <x:c r="C143" s="36" t="n">
        <x:v>301.61</x:v>
      </x:c>
      <x:c r="D143" s="36" t="n">
        <x:v>337.80320000000006</x:v>
      </x:c>
      <x:c r="E143" s="36" t="n">
        <x:v>378.3395840000001</x:v>
      </x:c>
      <x:c r="F143" s="36" t="n">
        <x:v>421.47029657600007</x:v>
      </x:c>
      <x:c r="G143" s="36" t="n">
        <x:v>466.9890886062081</x:v>
      </x:c>
      <x:c r="H143" s="1" t="str">
        <x:v>Approved Stage 05 scenario schedule</x:v>
      </x:c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>
      <x:c r="A144" s="1" t="str">
        <x:v>Operating fixed investment</x:v>
      </x:c>
      <x:c r="B144" s="1" t="str">
        <x:v>$m</x:v>
      </x:c>
      <x:c r="C144" s="36" t="n">
        <x:v>40.21</x:v>
      </x:c>
      <x:c r="D144" s="36" t="n">
        <x:v>43.917680000000004</x:v>
      </x:c>
      <x:c r="E144" s="36" t="n">
        <x:v>47.97106240000001</x:v>
      </x:c>
      <x:c r="F144" s="36" t="n">
        <x:v>52.181129702400014</x:v>
      </x:c>
      <x:c r="G144" s="36" t="n">
        <x:v>56.523523351372816</x:v>
      </x:c>
      <x:c r="H144" s="1" t="str">
        <x:v>Approved Stage 05 scenario schedule</x:v>
      </x:c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>
      <x:c r="A145" s="1" t="str">
        <x:v>D&amp;A</x:v>
      </x:c>
      <x:c r="B145" s="1" t="str">
        <x:v>$m</x:v>
      </x:c>
      <x:c r="C145" s="36" t="n">
        <x:v>91.80856666666666</x:v>
      </x:c>
      <x:c r="D145" s="36" t="n">
        <x:v>85.01976133333332</x:v>
      </x:c>
      <x:c r="E145" s="36" t="n">
        <x:v>76.26328757333333</x:v>
      </x:c>
      <x:c r="F145" s="36" t="n">
        <x:v>73.35274501290667</x:v>
      </x:c>
      <x:c r="G145" s="36" t="n">
        <x:v>74.57791652615596</x:v>
      </x:c>
      <x:c r="H145" s="1" t="str">
        <x:v>Approved Stage 05 scenario schedule</x:v>
      </x:c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>
      <x:c r="A146" s="1" t="str">
        <x:v>ETR</x:v>
      </x:c>
      <x:c r="B146" s="1" t="str">
        <x:v>%</x:v>
      </x:c>
      <x:c r="C146" s="41" t="n">
        <x:v>0</x:v>
      </x:c>
      <x:c r="D146" s="41" t="n">
        <x:v>0.03392031402470694</x:v>
      </x:c>
      <x:c r="E146" s="41" t="n">
        <x:v>0.17705749438887453</x:v>
      </x:c>
      <x:c r="F146" s="41" t="n">
        <x:v>0.25</x:v>
      </x:c>
      <x:c r="G146" s="41" t="n">
        <x:v>0.25</x:v>
      </x:c>
      <x:c r="H146" s="1" t="str">
        <x:v>Approved Stage 05 scenario schedule</x:v>
      </x:c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>
      <x:c r="A147" s="1" t="str">
        <x:v>Ending working capital</x:v>
      </x:c>
      <x:c r="B147" s="1" t="str">
        <x:v>$m</x:v>
      </x:c>
      <x:c r="C147" s="36" t="n">
        <x:v>147.29652904109594</x:v>
      </x:c>
      <x:c r="D147" s="36" t="n">
        <x:v>179.2768923287672</x:v>
      </x:c>
      <x:c r="E147" s="36" t="n">
        <x:v>216.23873998356174</x:v>
      </x:c>
      <x:c r="F147" s="36" t="n">
        <x:v>256.70316272564395</x:v>
      </x:c>
      <x:c r="G147" s="36" t="n">
        <x:v>302.32147510119137</x:v>
      </x:c>
      <x:c r="H147" s="1" t="str">
        <x:v>Approved Stage 05 scenario schedule</x:v>
      </x:c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>
      <x:c r="A148" s="1" t="str">
        <x:v>Investment in working capital</x:v>
      </x:c>
      <x:c r="B148" s="1" t="str">
        <x:v>$m</x:v>
      </x:c>
      <x:c r="C148" s="36" t="n">
        <x:v>52.77852904109591</x:v>
      </x:c>
      <x:c r="D148" s="36" t="n">
        <x:v>31.980363287671253</x:v>
      </x:c>
      <x:c r="E148" s="36" t="n">
        <x:v>36.96184765479455</x:v>
      </x:c>
      <x:c r="F148" s="36" t="n">
        <x:v>40.464422742082206</x:v>
      </x:c>
      <x:c r="G148" s="36" t="n">
        <x:v>45.61831237554742</x:v>
      </x:c>
      <x:c r="H148" s="1" t="str">
        <x:v>Approved Stage 05 scenario schedule</x:v>
      </x:c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>
      <x:c r="A149" s="1" t="str">
        <x:v>FCFF</x:v>
      </x:c>
      <x:c r="B149" s="1" t="str">
        <x:v>$m</x:v>
      </x:c>
      <x:c r="C149" s="36" t="n">
        <x:v>53.031270958904116</x:v>
      </x:c>
      <x:c r="D149" s="36" t="n">
        <x:v>171.80881373122992</x:v>
      </x:c>
      <x:c r="E149" s="36" t="n">
        <x:v>223.47729442973338</x:v>
      </x:c>
      <x:c r="F149" s="36" t="n">
        <x:v>283.4693780045572</x:v>
      </x:c>
      <x:c r="G149" s="36" t="n">
        <x:v>379.1100720584817</x:v>
      </x:c>
      <x:c r="H149" s="1" t="str">
        <x:v>Approved Stage 05 scenario schedule</x:v>
      </x:c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>
      <x:c r="A150" s="1" t="str">
        <x:v>SBC expense</x:v>
      </x:c>
      <x:c r="B150" s="1" t="str">
        <x:v>$m</x:v>
      </x:c>
      <x:c r="C150" s="36" t="n">
        <x:v>202.97228</x:v>
      </x:c>
      <x:c r="D150" s="36" t="n">
        <x:v>161.901</x:v>
      </x:c>
      <x:c r="E150" s="36" t="n">
        <x:v>186.10312537673224</x:v>
      </x:c>
      <x:c r="F150" s="36" t="n">
        <x:v>212.00929085060972</x:v>
      </x:c>
      <x:c r="G150" s="36" t="n">
        <x:v>240.28675378689846</x:v>
      </x:c>
      <x:c r="H150" s="1" t="str">
        <x:v>Approved Stage 05 scenario schedule</x:v>
      </x:c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</x:row>
    <x:row r="152" ht="20" customHeight="1">
      <x:c r="A152" s="11" t="str">
        <x:v>Bear scenario source schedule</x:v>
      </x:c>
      <x:c r="B152" s="11" t="str">
        <x:v>Bear scenario source schedule</x:v>
      </x:c>
      <x:c r="C152" s="11" t="str">
        <x:v>Bear scenario source schedule</x:v>
      </x:c>
      <x:c r="D152" s="11" t="str">
        <x:v>Bear scenario source schedule</x:v>
      </x:c>
      <x:c r="E152" s="11" t="str">
        <x:v>Bear scenario source schedule</x:v>
      </x:c>
      <x:c r="F152" s="11" t="str">
        <x:v>Bear scenario source schedule</x:v>
      </x:c>
      <x:c r="G152" s="11" t="str">
        <x:v>Bear scenario source schedule</x:v>
      </x:c>
      <x:c r="H152" s="11" t="str">
        <x:v>Bear scenario source schedule</x:v>
      </x:c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</x:row>
    <x:row r="153">
      <x:c r="A153" s="15" t="str">
        <x:v>Line item</x:v>
      </x:c>
      <x:c r="B153" s="15" t="str">
        <x:v>Unit</x:v>
      </x:c>
      <x:c r="C153" s="15" t="str">
        <x:v>FY2026E</x:v>
      </x:c>
      <x:c r="D153" s="15" t="str">
        <x:v>FY2027E</x:v>
      </x:c>
      <x:c r="E153" s="15" t="str">
        <x:v>FY2028E</x:v>
      </x:c>
      <x:c r="F153" s="15" t="str">
        <x:v>FY2029E</x:v>
      </x:c>
      <x:c r="G153" s="15" t="str">
        <x:v>FY2030E</x:v>
      </x:c>
      <x:c r="H153" s="15" t="str">
        <x:v>Source</x:v>
      </x:c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</x:row>
    <x:row r="154">
      <x:c r="A154" s="1" t="str">
        <x:v>Revenue</x:v>
      </x:c>
      <x:c r="B154" s="1" t="str">
        <x:v>$m</x:v>
      </x:c>
      <x:c r="C154" s="36" t="n">
        <x:v>1811</x:v>
      </x:c>
      <x:c r="D154" s="36" t="n">
        <x:v>2136.98</x:v>
      </x:c>
      <x:c r="E154" s="36" t="n">
        <x:v>2489.5817</x:v>
      </x:c>
      <x:c r="F154" s="36" t="n">
        <x:v>2838.1231380000004</x:v>
      </x:c>
      <x:c r="G154" s="36" t="n">
        <x:v>3207.07914594</x:v>
      </x:c>
      <x:c r="H154" s="1" t="str">
        <x:v>Approved Stage 05 scenario schedule</x:v>
      </x:c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</x:row>
    <x:row r="155">
      <x:c r="A155" s="1" t="str">
        <x:v>Gross profit</x:v>
      </x:c>
      <x:c r="B155" s="1" t="str">
        <x:v>$m</x:v>
      </x:c>
      <x:c r="C155" s="36" t="n">
        <x:v>1054.48675</x:v>
      </x:c>
      <x:c r="D155" s="36" t="n">
        <x:v>1230.51595</x:v>
      </x:c>
      <x:c r="E155" s="36" t="n">
        <x:v>1417.394851</x:v>
      </x:c>
      <x:c r="F155" s="36" t="n">
        <x:v>1602.12181314</x:v>
      </x:c>
      <x:c r="G155" s="36" t="n">
        <x:v>1797.6684973482002</x:v>
      </x:c>
      <x:c r="H155" s="1" t="str">
        <x:v>Approved Stage 05 scenario schedule</x:v>
      </x:c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</x:row>
    <x:row r="156">
      <x:c r="A156" s="1" t="str">
        <x:v>S&amp;M</x:v>
      </x:c>
      <x:c r="B156" s="1" t="str">
        <x:v>$m</x:v>
      </x:c>
      <x:c r="C156" s="36" t="n">
        <x:v>437.65279999999996</x:v>
      </x:c>
      <x:c r="D156" s="36" t="n">
        <x:v>497.9590999999999</x:v>
      </x:c>
      <x:c r="E156" s="36" t="n">
        <x:v>559.6643975</x:v>
      </x:c>
      <x:c r="F156" s="36" t="n">
        <x:v>618.9164419599999</x:v>
      </x:c>
      <x:c r="G156" s="36" t="n">
        <x:v>679.7941832700999</x:v>
      </x:c>
      <x:c r="H156" s="1" t="str">
        <x:v>Approved Stage 05 scenario schedule</x:v>
      </x:c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</x:row>
    <x:row r="157">
      <x:c r="A157" s="1" t="str">
        <x:v>R&amp;D</x:v>
      </x:c>
      <x:c r="B157" s="1" t="str">
        <x:v>$m</x:v>
      </x:c>
      <x:c r="C157" s="36" t="n">
        <x:v>178.72924999999998</x:v>
      </x:c>
      <x:c r="D157" s="36" t="n">
        <x:v>205.53863749999996</x:v>
      </x:c>
      <x:c r="E157" s="36" t="n">
        <x:v>242.84390020624997</x:v>
      </x:c>
      <x:c r="F157" s="36" t="n">
        <x:v>280.2418608380124</x:v>
      </x:c>
      <x:c r="G157" s="36" t="n">
        <x:v>320.3164469378482</x:v>
      </x:c>
      <x:c r="H157" s="1" t="str">
        <x:v>Approved Stage 05 scenario schedule</x:v>
      </x:c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</x:row>
    <x:row r="158">
      <x:c r="A158" s="1" t="str">
        <x:v>G&amp;A</x:v>
      </x:c>
      <x:c r="B158" s="1" t="str">
        <x:v>$m</x:v>
      </x:c>
      <x:c r="C158" s="36" t="n">
        <x:v>304.596</x:v>
      </x:c>
      <x:c r="D158" s="36" t="n">
        <x:v>347.23944000000006</x:v>
      </x:c>
      <x:c r="E158" s="36" t="n">
        <x:v>388.9081728000001</x:v>
      </x:c>
      <x:c r="F158" s="36" t="n">
        <x:v>435.57715353600014</x:v>
      </x:c>
      <x:c r="G158" s="36" t="n">
        <x:v>487.8464119603202</x:v>
      </x:c>
      <x:c r="H158" s="1" t="str">
        <x:v>Approved Stage 05 scenario schedule</x:v>
      </x:c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</x:row>
    <x:row r="159">
      <x:c r="A159" s="1" t="str">
        <x:v>Operating fixed investment</x:v>
      </x:c>
      <x:c r="B159" s="1" t="str">
        <x:v>$m</x:v>
      </x:c>
      <x:c r="C159" s="36" t="n">
        <x:v>40.21</x:v>
      </x:c>
      <x:c r="D159" s="36" t="n">
        <x:v>43.11348</x:v>
      </x:c>
      <x:c r="E159" s="36" t="n">
        <x:v>46.39634376000001</x:v>
      </x:c>
      <x:c r="F159" s="36" t="n">
        <x:v>49.39626047616001</x:v>
      </x:c>
      <x:c r="G159" s="36" t="n">
        <x:v>52.364004991384334</x:v>
      </x:c>
      <x:c r="H159" s="1" t="str">
        <x:v>Approved Stage 05 scenario schedule</x:v>
      </x:c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</x:row>
    <x:row r="160">
      <x:c r="A160" s="1" t="str">
        <x:v>D&amp;A</x:v>
      </x:c>
      <x:c r="B160" s="1" t="str">
        <x:v>$m</x:v>
      </x:c>
      <x:c r="C160" s="36" t="n">
        <x:v>91.80856666666666</x:v>
      </x:c>
      <x:c r="D160" s="36" t="n">
        <x:v>84.90314933333332</x:v>
      </x:c>
      <x:c r="E160" s="36" t="n">
        <x:v>75.79935213600001</x:v>
      </x:c>
      <x:c r="F160" s="36" t="n">
        <x:v>72.247792713216</x:v>
      </x:c>
      <x:c r="G160" s="36" t="n">
        <x:v>72.53838942033524</x:v>
      </x:c>
      <x:c r="H160" s="1" t="str">
        <x:v>Approved Stage 05 scenario schedule</x:v>
      </x:c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</x:row>
    <x:row r="161">
      <x:c r="A161" s="1" t="str">
        <x:v>ETR</x:v>
      </x:c>
      <x:c r="B161" s="1" t="str">
        <x:v>%</x:v>
      </x:c>
      <x:c r="C161" s="41" t="n">
        <x:v>0</x:v>
      </x:c>
      <x:c r="D161" s="41" t="n">
        <x:v>0.009395675047356339</x:v>
      </x:c>
      <x:c r="E161" s="41" t="n">
        <x:v>0.04999999999999999</x:v>
      </x:c>
      <x:c r="F161" s="41" t="n">
        <x:v>0.19799797165146826</x:v>
      </x:c>
      <x:c r="G161" s="41" t="n">
        <x:v>0.25</x:v>
      </x:c>
      <x:c r="H161" s="1" t="str">
        <x:v>Approved Stage 05 scenario schedule</x:v>
      </x:c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</x:row>
    <x:row r="162">
      <x:c r="A162" s="1" t="str">
        <x:v>Ending working capital</x:v>
      </x:c>
      <x:c r="B162" s="1" t="str">
        <x:v>$m</x:v>
      </x:c>
      <x:c r="C162" s="36" t="n">
        <x:v>149.66180856164388</x:v>
      </x:c>
      <x:c r="D162" s="36" t="n">
        <x:v>179.3375644863014</x:v>
      </x:c>
      <x:c r="E162" s="36" t="n">
        <x:v>212.13242059589047</x:v>
      </x:c>
      <x:c r="F162" s="36" t="n">
        <x:v>245.77667795387674</x:v>
      </x:c>
      <x:c r="G162" s="36" t="n">
        <x:v>282.3626114070395</x:v>
      </x:c>
      <x:c r="H162" s="1" t="str">
        <x:v>Approved Stage 05 scenario schedule</x:v>
      </x:c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</x:row>
    <x:row r="163">
      <x:c r="A163" s="1" t="str">
        <x:v>Investment in working capital</x:v>
      </x:c>
      <x:c r="B163" s="1" t="str">
        <x:v>$m</x:v>
      </x:c>
      <x:c r="C163" s="36" t="n">
        <x:v>55.14380856164385</x:v>
      </x:c>
      <x:c r="D163" s="36" t="n">
        <x:v>29.675755924657523</x:v>
      </x:c>
      <x:c r="E163" s="36" t="n">
        <x:v>32.79485610958906</x:v>
      </x:c>
      <x:c r="F163" s="36" t="n">
        <x:v>33.64425735798628</x:v>
      </x:c>
      <x:c r="G163" s="36" t="n">
        <x:v>36.58593345316274</x:v>
      </x:c>
      <x:c r="H163" s="1" t="str">
        <x:v>Approved Stage 05 scenario schedule</x:v>
      </x:c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</x:row>
    <x:row r="164">
      <x:c r="A164" s="1" t="str">
        <x:v>FCFF</x:v>
      </x:c>
      <x:c r="B164" s="1" t="str">
        <x:v>$m</x:v>
      </x:c>
      <x:c r="C164" s="36" t="n">
        <x:v>29.736891438356253</x:v>
      </x:c>
      <x:c r="D164" s="36" t="n">
        <x:v>106.0981160501531</x:v>
      </x:c>
      <x:c r="E164" s="36" t="n">
        <x:v>139.27822920627347</x:v>
      </x:c>
      <x:c r="F164" s="36" t="n">
        <x:v>145.70879909049253</x:v>
      </x:c>
      <x:c r="G164" s="36" t="n">
        <x:v>161.46825029548563</x:v>
      </x:c>
      <x:c r="H164" s="1" t="str">
        <x:v>Approved Stage 05 scenario schedule</x:v>
      </x:c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</x:row>
    <x:row r="165">
      <x:c r="A165" s="1" t="str">
        <x:v>SBC expense</x:v>
      </x:c>
      <x:c r="B165" s="1" t="str">
        <x:v>$m</x:v>
      </x:c>
      <x:c r="C165" s="36" t="n">
        <x:v>202.97228</x:v>
      </x:c>
      <x:c r="D165" s="36" t="n">
        <x:v>161.901</x:v>
      </x:c>
      <x:c r="E165" s="36" t="n">
        <x:v>184.96409779506064</x:v>
      </x:c>
      <x:c r="F165" s="36" t="n">
        <x:v>207.2139722652962</x:v>
      </x:c>
      <x:c r="G165" s="36" t="n">
        <x:v>231.00119788130544</x:v>
      </x:c>
      <x:c r="H165" s="1" t="str">
        <x:v>Approved Stage 05 scenario schedule</x:v>
      </x:c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</x:row>
    <x:row r="167" ht="20" customHeight="1">
      <x:c r="A167" s="11" t="str">
        <x:v>Transition D&amp;A and operating-investment schedules</x:v>
      </x:c>
      <x:c r="B167" s="11" t="str">
        <x:v>Transition D&amp;A and operating-investment schedules</x:v>
      </x:c>
      <x:c r="C167" s="11" t="str">
        <x:v>Transition D&amp;A and operating-investment schedules</x:v>
      </x:c>
      <x:c r="D167" s="11" t="str">
        <x:v>Transition D&amp;A and operating-investment schedules</x:v>
      </x:c>
      <x:c r="E167" s="11" t="str">
        <x:v>Transition D&amp;A and operating-investment schedules</x:v>
      </x:c>
      <x:c r="F167" s="11" t="str">
        <x:v>Transition D&amp;A and operating-investment schedules</x:v>
      </x:c>
      <x:c r="G167" s="11" t="str">
        <x:v>Transition D&amp;A and operating-investment schedules</x:v>
      </x:c>
      <x:c r="H167" s="11" t="str">
        <x:v>Transition D&amp;A and operating-investment schedules</x:v>
      </x:c>
      <x:c r="I167" s="11" t="str">
        <x:v>Transition D&amp;A and operating-investment schedules</x:v>
      </x:c>
      <x:c r="J167" s="11" t="str">
        <x:v>Transition D&amp;A and operating-investment schedules</x:v>
      </x:c>
      <x:c r="K167" s="11" t="str">
        <x:v>Transition D&amp;A and operating-investment schedules</x:v>
      </x:c>
      <x:c r="L167" s="11" t="str">
        <x:v>Transition D&amp;A and operating-investment schedules</x:v>
      </x:c>
      <x:c r="M167" s="11" t="str">
        <x:v>Transition D&amp;A and operating-investment schedules</x:v>
      </x:c>
      <x:c r="N167" s="11" t="str">
        <x:v>Transition D&amp;A and operating-investment schedules</x:v>
      </x:c>
      <x:c r="O167" s="1"/>
      <x:c r="P167" s="1"/>
      <x:c r="Q167" s="1"/>
      <x:c r="R167" s="1"/>
    </x:row>
    <x:row r="168">
      <x:c r="A168" s="16" t="str">
        <x:v>Schedule</x:v>
      </x:c>
      <x:c r="B168" s="16" t="str">
        <x:v>Scenario</x:v>
      </x:c>
      <x:c r="C168" s="16" t="n">
        <x:v>2030</x:v>
      </x:c>
      <x:c r="D168" s="16" t="n">
        <x:v>2031</x:v>
      </x:c>
      <x:c r="E168" s="16" t="n">
        <x:v>2032</x:v>
      </x:c>
      <x:c r="F168" s="16" t="n">
        <x:v>2033</x:v>
      </x:c>
      <x:c r="G168" s="16" t="n">
        <x:v>2034</x:v>
      </x:c>
      <x:c r="H168" s="16" t="n">
        <x:v>2035</x:v>
      </x:c>
      <x:c r="I168" s="16" t="n">
        <x:v>2036</x:v>
      </x:c>
      <x:c r="J168" s="16" t="n">
        <x:v>2037</x:v>
      </x:c>
      <x:c r="K168" s="16" t="n">
        <x:v>2038</x:v>
      </x:c>
      <x:c r="L168" s="16" t="n">
        <x:v>2039</x:v>
      </x:c>
      <x:c r="M168" s="16" t="n">
        <x:v>2040</x:v>
      </x:c>
      <x:c r="N168" s="16" t="n">
        <x:v>2041</x:v>
      </x:c>
      <x:c r="O168" s="1"/>
      <x:c r="P168" s="1"/>
      <x:c r="Q168" s="1"/>
      <x:c r="R168" s="1"/>
    </x:row>
    <x:row r="169">
      <x:c r="A169" s="17" t="str">
        <x:v>D&amp;A</x:v>
      </x:c>
      <x:c r="B169" s="17" t="str">
        <x:v>Bull</x:v>
      </x:c>
      <x:c r="C169" s="43" t="n">
        <x:v>75.56277967699201</x:v>
      </x:c>
      <x:c r="D169" s="43" t="n">
        <x:v>59.059148502058314</x:v>
      </x:c>
      <x:c r="E169" s="43" t="n">
        <x:v>64.3958649975398</x:v>
      </x:c>
      <x:c r="F169" s="43" t="n">
        <x:v>70.36013738514718</x:v>
      </x:c>
      <x:c r="G169" s="43" t="n">
        <x:v>76.88897639007864</x:v>
      </x:c>
      <x:c r="H169" s="43" t="n">
        <x:v>83.86727064620615</x:v>
      </x:c>
      <x:c r="I169" s="43" t="n">
        <x:v>91.21323079301521</x:v>
      </x:c>
      <x:c r="J169" s="43" t="n">
        <x:v>98.77231101521413</x:v>
      </x:c>
      <x:c r="K169" s="43" t="n">
        <x:v>106.34619345485095</x:v>
      </x:c>
      <x:c r="L169" s="43" t="n">
        <x:v>113.68751562669489</x:v>
      </x:c>
      <x:c r="M169" s="43" t="n">
        <x:v>120.50241433687701</x:v>
      </x:c>
      <x:c r="N169" s="43" t="n">
        <x:v>124.7199988386677</x:v>
      </x:c>
      <x:c r="O169" s="1"/>
      <x:c r="P169" s="1"/>
      <x:c r="Q169" s="1"/>
      <x:c r="R169" s="1"/>
    </x:row>
    <x:row r="170">
      <x:c r="A170" s="17" t="str">
        <x:v>Operating fixed investment</x:v>
      </x:c>
      <x:c r="B170" s="17" t="str">
        <x:v>Bull</x:v>
      </x:c>
      <x:c r="C170" s="43" t="n">
        <x:v>58.172989409920014</x:v>
      </x:c>
      <x:c r="D170" s="43" t="n">
        <x:v>63.50066569004519</x:v>
      </x:c>
      <x:c r="E170" s="43" t="n">
        <x:v>69.37622810777405</x:v>
      </x:c>
      <x:c r="F170" s="43" t="n">
        <x:v>75.75480128452166</x:v>
      </x:c>
      <x:c r="G170" s="43" t="n">
        <x:v>82.55954645323834</x:v>
      </x:c>
      <x:c r="H170" s="43" t="n">
        <x:v>89.67453156409061</x:v>
      </x:c>
      <x:c r="I170" s="43" t="n">
        <x:v>96.93853765177604</x:v>
      </x:c>
      <x:c r="J170" s="43" t="n">
        <x:v>104.14089148349254</x:v>
      </x:c>
      <x:c r="K170" s="43" t="n">
        <x:v>111.02066162782856</x:v>
      </x:c>
      <x:c r="L170" s="43" t="n">
        <x:v>117.2706908460821</x:v>
      </x:c>
      <x:c r="M170" s="43" t="n">
        <x:v>122.5478719341558</x:v>
      </x:c>
      <x:c r="N170" s="43" t="n">
        <x:v>126.83704745185125</x:v>
      </x:c>
      <x:c r="O170" s="1"/>
      <x:c r="P170" s="1"/>
      <x:c r="Q170" s="1"/>
      <x:c r="R170" s="1"/>
    </x:row>
    <x:row r="171">
      <x:c r="A171" s="17" t="str">
        <x:v>D&amp;A</x:v>
      </x:c>
      <x:c r="B171" s="17" t="str">
        <x:v>Base</x:v>
      </x:c>
      <x:c r="C171" s="43" t="n">
        <x:v>74.57791652615596</x:v>
      </x:c>
      <x:c r="D171" s="43" t="n">
        <x:v>79.00757945227488</x:v>
      </x:c>
      <x:c r="E171" s="43" t="n">
        <x:v>62.67451292686945</x:v>
      </x:c>
      <x:c r="F171" s="43" t="n">
        <x:v>67.2780667541837</x:v>
      </x:c>
      <x:c r="G171" s="43" t="n">
        <x:v>73.074397427154</x:v>
      </x:c>
      <x:c r="H171" s="43" t="n">
        <x:v>79.21042583892958</x:v>
      </x:c>
      <x:c r="I171" s="43" t="n">
        <x:v>85.61139891214843</x:v>
      </x:c>
      <x:c r="J171" s="43" t="n">
        <x:v>92.14058987128038</x:v>
      </x:c>
      <x:c r="K171" s="43" t="n">
        <x:v>98.6286040003783</x:v>
      </x:c>
      <x:c r="L171" s="43" t="n">
        <x:v>104.86959099207664</x:v>
      </x:c>
      <x:c r="M171" s="43" t="n">
        <x:v>110.62406047627422</x:v>
      </x:c>
      <x:c r="N171" s="43" t="n">
        <x:v>113.94278229056246</x:v>
      </x:c>
      <x:c r="O171" s="1"/>
      <x:c r="P171" s="1"/>
      <x:c r="Q171" s="1"/>
      <x:c r="R171" s="1"/>
    </x:row>
    <x:row r="172">
      <x:c r="A172" s="17" t="str">
        <x:v>Operating fixed investment</x:v>
      </x:c>
      <x:c r="B172" s="17" t="str">
        <x:v>Base</x:v>
      </x:c>
      <x:c r="C172" s="43" t="n">
        <x:v>56.523523351372816</x:v>
      </x:c>
      <x:c r="D172" s="43" t="n">
        <x:v>61.402329751506926</x:v>
      </x:c>
      <x:c r="E172" s="43" t="n">
        <x:v>66.72343822843936</x:v>
      </x:c>
      <x:c r="F172" s="43" t="n">
        <x:v>72.4364216327675</x:v>
      </x:c>
      <x:c r="G172" s="43" t="n">
        <x:v>78.4636418922074</x:v>
      </x:c>
      <x:c r="H172" s="43" t="n">
        <x:v>84.69523065872504</x:v>
      </x:c>
      <x:c r="I172" s="43" t="n">
        <x:v>90.98508785089575</x:v>
      </x:c>
      <x:c r="J172" s="43" t="n">
        <x:v>97.14871579274852</x:v>
      </x:c>
      <x:c r="K172" s="43" t="n">
        <x:v>102.96384398751252</x:v>
      </x:c>
      <x:c r="L172" s="43" t="n">
        <x:v>108.17484502668805</x:v>
      </x:c>
      <x:c r="M172" s="43" t="n">
        <x:v>112.50183882775558</x:v>
      </x:c>
      <x:c r="N172" s="43" t="n">
        <x:v>115.87689399258825</x:v>
      </x:c>
      <x:c r="O172" s="1"/>
      <x:c r="P172" s="1"/>
      <x:c r="Q172" s="1"/>
      <x:c r="R172" s="1"/>
    </x:row>
    <x:row r="173">
      <x:c r="A173" s="17" t="str">
        <x:v>D&amp;A</x:v>
      </x:c>
      <x:c r="B173" s="17" t="str">
        <x:v>Bear</x:v>
      </x:c>
      <x:c r="C173" s="43" t="n">
        <x:v>72.53838942033524</x:v>
      </x:c>
      <x:c r="D173" s="43" t="n">
        <x:v>51.73245859380078</x:v>
      </x:c>
      <x:c r="E173" s="43" t="n">
        <x:v>54.8309827123651</x:v>
      </x:c>
      <x:c r="F173" s="43" t="n">
        <x:v>58.11067976024658</x:v>
      </x:c>
      <x:c r="G173" s="43" t="n">
        <x:v>61.39846866917093</x:v>
      </x:c>
      <x:c r="H173" s="43" t="n">
        <x:v>64.47239039314583</x:v>
      </x:c>
      <x:c r="I173" s="43" t="n">
        <x:v>67.13548090041019</x:v>
      </x:c>
      <x:c r="J173" s="43" t="n">
        <x:v>68.81386792292044</x:v>
      </x:c>
      <x:c r="K173" s="43"/>
      <x:c r="L173" s="43"/>
      <x:c r="M173" s="43"/>
      <x:c r="N173" s="43"/>
      <x:c r="O173" s="1"/>
      <x:c r="P173" s="1"/>
      <x:c r="Q173" s="1"/>
      <x:c r="R173" s="1"/>
    </x:row>
    <x:row r="174">
      <x:c r="A174" s="17" t="str">
        <x:v>Operating fixed investment</x:v>
      </x:c>
      <x:c r="B174" s="17" t="str">
        <x:v>Bear</x:v>
      </x:c>
      <x:c r="C174" s="43" t="n">
        <x:v>52.364004991384334</x:v>
      </x:c>
      <x:c r="D174" s="43" t="n">
        <x:v>55.62297530203232</x:v>
      </x:c>
      <x:c r="E174" s="43" t="n">
        <x:v>59.07159977075833</x:v>
      </x:c>
      <x:c r="F174" s="43" t="n">
        <x:v>62.56615125193372</x:v>
      </x:c>
      <x:c r="G174" s="43" t="n">
        <x:v>65.92661216522838</x:v>
      </x:c>
      <x:c r="H174" s="43" t="n">
        <x:v>68.93668248382498</x:v>
      </x:c>
      <x:c r="I174" s="43" t="n">
        <x:v>71.34946637075885</x:v>
      </x:c>
      <x:c r="J174" s="43" t="n">
        <x:v>73.13320303002781</x:v>
      </x:c>
      <x:c r="K174" s="43"/>
      <x:c r="L174" s="43"/>
      <x:c r="M174" s="43"/>
      <x:c r="N174" s="43"/>
      <x:c r="O174" s="1"/>
      <x:c r="P174" s="1"/>
      <x:c r="Q174" s="1"/>
      <x:c r="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</x:row>
    <x:row r="178" ht="20" customHeight="1">
      <x:c r="A178" s="11" t="str">
        <x:v>Primary sources</x:v>
      </x:c>
      <x:c r="B178" s="11" t="str">
        <x:v>Primary sources</x:v>
      </x:c>
      <x:c r="C178" s="11" t="str">
        <x:v>Primary sources</x:v>
      </x:c>
      <x:c r="D178" s="11" t="str">
        <x:v>Primary sources</x:v>
      </x:c>
      <x:c r="E178" s="11" t="str">
        <x:v>Primary sources</x:v>
      </x:c>
      <x:c r="F178" s="11" t="str">
        <x:v>Primary sources</x:v>
      </x:c>
      <x:c r="G178" s="11" t="str">
        <x:v>Primary sources</x:v>
      </x:c>
      <x:c r="H178" s="11" t="str">
        <x:v>Primary sources</x:v>
      </x:c>
      <x:c r="I178" s="11" t="str">
        <x:v>Primary sources</x:v>
      </x:c>
      <x:c r="J178" s="11" t="str">
        <x:v>Primary sources</x:v>
      </x:c>
      <x:c r="K178" s="11" t="str">
        <x:v>Primary sources</x:v>
      </x:c>
      <x:c r="L178" s="11" t="str">
        <x:v>Primary sources</x:v>
      </x:c>
      <x:c r="M178" s="11" t="str">
        <x:v>Primary sources</x:v>
      </x:c>
      <x:c r="N178" s="11" t="str">
        <x:v>Primary sources</x:v>
      </x:c>
      <x:c r="O178" s="11" t="str">
        <x:v>Primary sources</x:v>
      </x:c>
      <x:c r="P178" s="11" t="str">
        <x:v>Primary sources</x:v>
      </x:c>
      <x:c r="Q178" s="11" t="str">
        <x:v>Primary sources</x:v>
      </x:c>
      <x:c r="R178" s="11" t="str">
        <x:v>Primary sources</x:v>
      </x:c>
    </x:row>
    <x:row r="179">
      <x:c r="A179" s="16" t="str">
        <x:v>Source</x:v>
      </x:c>
      <x:c r="B179" s="16" t="str">
        <x:v>Source</x:v>
      </x:c>
      <x:c r="C179" s="16" t="str">
        <x:v>Period</x:v>
      </x:c>
      <x:c r="D179" s="16" t="str">
        <x:v>Period</x:v>
      </x:c>
      <x:c r="E179" s="16" t="str">
        <x:v>Used for</x:v>
      </x:c>
      <x:c r="F179" s="16" t="str">
        <x:v>Used for</x:v>
      </x:c>
      <x:c r="G179" s="16" t="str">
        <x:v>Used for</x:v>
      </x:c>
      <x:c r="H179" s="16" t="str">
        <x:v>Link</x:v>
      </x:c>
      <x:c r="I179" s="16" t="str">
        <x:v>Link</x:v>
      </x:c>
      <x:c r="J179" s="16" t="str">
        <x:v>Link</x:v>
      </x:c>
      <x:c r="K179" s="16" t="str">
        <x:v>Evidence type</x:v>
      </x:c>
      <x:c r="L179" s="16" t="str">
        <x:v>Evidence type</x:v>
      </x:c>
      <x:c r="M179" s="16" t="str">
        <x:v>Note</x:v>
      </x:c>
      <x:c r="N179" s="16" t="str">
        <x:v>Note</x:v>
      </x:c>
      <x:c r="O179" s="16" t="str">
        <x:v>Note</x:v>
      </x:c>
      <x:c r="P179" s="16" t="str">
        <x:v>Note</x:v>
      </x:c>
      <x:c r="Q179" s="16" t="str">
        <x:v>Note</x:v>
      </x:c>
      <x:c r="R179" s="16" t="str">
        <x:v>Note</x:v>
      </x:c>
    </x:row>
    <x:row r="180" ht="30" customHeight="1">
      <x:c r="A180" s="51" t="str">
        <x:v>Zeta Global IPO prospectus</x:v>
      </x:c>
      <x:c r="B180" s="51" t="str">
        <x:v>Zeta Global IPO prospectus</x:v>
      </x:c>
      <x:c r="C180" s="51" t="str">
        <x:v>FY2019–FY2020</x:v>
      </x:c>
      <x:c r="D180" s="51" t="str">
        <x:v>FY2019–FY2020</x:v>
      </x:c>
      <x:c r="E180" s="51" t="str">
        <x:v>Historical financials</x:v>
      </x:c>
      <x:c r="F180" s="51" t="str">
        <x:v>Historical financials</x:v>
      </x:c>
      <x:c r="G180" s="51" t="str">
        <x:v>Historical financials</x:v>
      </x:c>
      <x:c r="H180" s="51" t="str">
        <x:v>https://www.sec.gov/Archives/edgar/data/1851003/000119312521189216/d379381d424b4.htm</x:v>
      </x:c>
      <x:c r="I180" s="51" t="str">
        <x:v>https://www.sec.gov/Archives/edgar/data/1851003/000119312521189216/d379381d424b4.htm</x:v>
      </x:c>
      <x:c r="J180" s="51" t="str">
        <x:v>https://www.sec.gov/Archives/edgar/data/1851003/000119312521189216/d379381d424b4.htm</x:v>
      </x:c>
      <x:c r="K180" s="51" t="str">
        <x:v>Filed</x:v>
      </x:c>
      <x:c r="L180" s="51" t="str">
        <x:v>Filed</x:v>
      </x:c>
      <x:c r="M180" s="51" t="str">
        <x:v>Primary historical source</x:v>
      </x:c>
      <x:c r="N180" s="51" t="str">
        <x:v>Primary historical source</x:v>
      </x:c>
      <x:c r="O180" s="51" t="str">
        <x:v>Primary historical source</x:v>
      </x:c>
      <x:c r="P180" s="51" t="str">
        <x:v>Primary historical source</x:v>
      </x:c>
      <x:c r="Q180" s="51" t="str">
        <x:v>Primary historical source</x:v>
      </x:c>
      <x:c r="R180" s="51" t="str">
        <x:v>Primary historical source</x:v>
      </x:c>
    </x:row>
    <x:row r="181" ht="30" customHeight="1">
      <x:c r="A181" s="51" t="str">
        <x:v>Zeta Global FY2023 Form 10-K</x:v>
      </x:c>
      <x:c r="B181" s="51" t="str">
        <x:v>Zeta Global FY2023 Form 10-K</x:v>
      </x:c>
      <x:c r="C181" s="51" t="str">
        <x:v>P&amp;L/CF: FY2021–FY2023; BS: FY2022–FY2023</x:v>
      </x:c>
      <x:c r="D181" s="51" t="str">
        <x:v>P&amp;L/CF: FY2021–FY2023; BS: FY2022–FY2023</x:v>
      </x:c>
      <x:c r="E181" s="51" t="str">
        <x:v>Historical financials and operating-cost history</x:v>
      </x:c>
      <x:c r="F181" s="51" t="str">
        <x:v>Historical financials and operating-cost history</x:v>
      </x:c>
      <x:c r="G181" s="51" t="str">
        <x:v>Historical financials and operating-cost history</x:v>
      </x:c>
      <x:c r="H181" s="51" t="str">
        <x:v>https://www.sec.gov/Archives/edgar/data/1851003/000095017024021671/zeta-20231231.htm</x:v>
      </x:c>
      <x:c r="I181" s="51" t="str">
        <x:v>https://www.sec.gov/Archives/edgar/data/1851003/000095017024021671/zeta-20231231.htm</x:v>
      </x:c>
      <x:c r="J181" s="51" t="str">
        <x:v>https://www.sec.gov/Archives/edgar/data/1851003/000095017024021671/zeta-20231231.htm</x:v>
      </x:c>
      <x:c r="K181" s="51" t="str">
        <x:v>Filed</x:v>
      </x:c>
      <x:c r="L181" s="51" t="str">
        <x:v>Filed</x:v>
      </x:c>
      <x:c r="M181" s="51" t="str">
        <x:v>Income statement and cash flow cover three years; balance sheet covers two year-ends</x:v>
      </x:c>
      <x:c r="N181" s="51" t="str">
        <x:v>Income statement and cash flow cover three years; balance sheet covers two year-ends</x:v>
      </x:c>
      <x:c r="O181" s="51" t="str">
        <x:v>Income statement and cash flow cover three years; balance sheet covers two year-ends</x:v>
      </x:c>
      <x:c r="P181" s="51" t="str">
        <x:v>Income statement and cash flow cover three years; balance sheet covers two year-ends</x:v>
      </x:c>
      <x:c r="Q181" s="51" t="str">
        <x:v>Income statement and cash flow cover three years; balance sheet covers two year-ends</x:v>
      </x:c>
      <x:c r="R181" s="51" t="str">
        <x:v>Income statement and cash flow cover three years; balance sheet covers two year-ends</x:v>
      </x:c>
    </x:row>
    <x:row r="182" ht="30" customHeight="1">
      <x:c r="A182" s="51" t="str">
        <x:v>Zeta Global FY2024 Form 10-K</x:v>
      </x:c>
      <x:c r="B182" s="51" t="str">
        <x:v>Zeta Global FY2024 Form 10-K</x:v>
      </x:c>
      <x:c r="C182" s="51" t="str">
        <x:v>FY2024</x:v>
      </x:c>
      <x:c r="D182" s="51" t="str">
        <x:v>FY2024</x:v>
      </x:c>
      <x:c r="E182" s="51" t="str">
        <x:v>Historical financials, LiveIntent and KPI history</x:v>
      </x:c>
      <x:c r="F182" s="51" t="str">
        <x:v>Historical financials, LiveIntent and KPI history</x:v>
      </x:c>
      <x:c r="G182" s="51" t="str">
        <x:v>Historical financials, LiveIntent and KPI history</x:v>
      </x:c>
      <x:c r="H182" s="51" t="str">
        <x:v>https://www.sec.gov/Archives/edgar/data/1851003/000095017025027338/zeta-20241231.htm</x:v>
      </x:c>
      <x:c r="I182" s="51" t="str">
        <x:v>https://www.sec.gov/Archives/edgar/data/1851003/000095017025027338/zeta-20241231.htm</x:v>
      </x:c>
      <x:c r="J182" s="51" t="str">
        <x:v>https://www.sec.gov/Archives/edgar/data/1851003/000095017025027338/zeta-20241231.htm</x:v>
      </x:c>
      <x:c r="K182" s="51" t="str">
        <x:v>Filed</x:v>
      </x:c>
      <x:c r="L182" s="51" t="str">
        <x:v>Filed</x:v>
      </x:c>
      <x:c r="M182" s="51" t="str">
        <x:v>Primary annual source</x:v>
      </x:c>
      <x:c r="N182" s="51" t="str">
        <x:v>Primary annual source</x:v>
      </x:c>
      <x:c r="O182" s="51" t="str">
        <x:v>Primary annual source</x:v>
      </x:c>
      <x:c r="P182" s="51" t="str">
        <x:v>Primary annual source</x:v>
      </x:c>
      <x:c r="Q182" s="51" t="str">
        <x:v>Primary annual source</x:v>
      </x:c>
      <x:c r="R182" s="51" t="str">
        <x:v>Primary annual source</x:v>
      </x:c>
    </x:row>
    <x:row r="183" ht="30" customHeight="1">
      <x:c r="A183" s="51" t="str">
        <x:v>Zeta Global FY2025 Form 10-K</x:v>
      </x:c>
      <x:c r="B183" s="51" t="str">
        <x:v>Zeta Global FY2025 Form 10-K</x:v>
      </x:c>
      <x:c r="C183" s="51" t="str">
        <x:v>FY2025</x:v>
      </x:c>
      <x:c r="D183" s="51" t="str">
        <x:v>FY2025</x:v>
      </x:c>
      <x:c r="E183" s="51" t="str">
        <x:v>Historical financials, tax, SBC and acquisitions</x:v>
      </x:c>
      <x:c r="F183" s="51" t="str">
        <x:v>Historical financials, tax, SBC and acquisitions</x:v>
      </x:c>
      <x:c r="G183" s="51" t="str">
        <x:v>Historical financials, tax, SBC and acquisitions</x:v>
      </x:c>
      <x:c r="H183" s="51" t="str">
        <x:v>https://www.sec.gov/Archives/edgar/data/1851003/000119312526068598/zeta-20251231.htm</x:v>
      </x:c>
      <x:c r="I183" s="51" t="str">
        <x:v>https://www.sec.gov/Archives/edgar/data/1851003/000119312526068598/zeta-20251231.htm</x:v>
      </x:c>
      <x:c r="J183" s="51" t="str">
        <x:v>https://www.sec.gov/Archives/edgar/data/1851003/000119312526068598/zeta-20251231.htm</x:v>
      </x:c>
      <x:c r="K183" s="51" t="str">
        <x:v>Filed</x:v>
      </x:c>
      <x:c r="L183" s="51" t="str">
        <x:v>Filed</x:v>
      </x:c>
      <x:c r="M183" s="51" t="str">
        <x:v>Primary annual source</x:v>
      </x:c>
      <x:c r="N183" s="51" t="str">
        <x:v>Primary annual source</x:v>
      </x:c>
      <x:c r="O183" s="51" t="str">
        <x:v>Primary annual source</x:v>
      </x:c>
      <x:c r="P183" s="51" t="str">
        <x:v>Primary annual source</x:v>
      </x:c>
      <x:c r="Q183" s="51" t="str">
        <x:v>Primary annual source</x:v>
      </x:c>
      <x:c r="R183" s="51" t="str">
        <x:v>Primary annual source</x:v>
      </x:c>
    </x:row>
    <x:row r="184" ht="30" customHeight="1">
      <x:c r="A184" s="51" t="str">
        <x:v>Zeta Global SEC filing history</x:v>
      </x:c>
      <x:c r="B184" s="51" t="str">
        <x:v>Zeta Global SEC filing history</x:v>
      </x:c>
      <x:c r="C184" s="51" t="str">
        <x:v>Q1 FY2024–Q2 FY2026</x:v>
      </x:c>
      <x:c r="D184" s="51" t="str">
        <x:v>Q1 FY2024–Q2 FY2026</x:v>
      </x:c>
      <x:c r="E184" s="51" t="str">
        <x:v>Half-year phasing, KPIs, working capital and SBC</x:v>
      </x:c>
      <x:c r="F184" s="51" t="str">
        <x:v>Half-year phasing, KPIs, working capital and SBC</x:v>
      </x:c>
      <x:c r="G184" s="51" t="str">
        <x:v>Half-year phasing, KPIs, working capital and SBC</x:v>
      </x:c>
      <x:c r="H184" s="51" t="str">
        <x:v>https://www.sec.gov/edgar/browse/?CIK=1851003&amp;owner=exclude</x:v>
      </x:c>
      <x:c r="I184" s="51" t="str">
        <x:v>https://www.sec.gov/edgar/browse/?CIK=1851003&amp;owner=exclude</x:v>
      </x:c>
      <x:c r="J184" s="51" t="str">
        <x:v>https://www.sec.gov/edgar/browse/?CIK=1851003&amp;owner=exclude</x:v>
      </x:c>
      <x:c r="K184" s="51" t="str">
        <x:v>Filed series</x:v>
      </x:c>
      <x:c r="L184" s="51" t="str">
        <x:v>Filed series</x:v>
      </x:c>
      <x:c r="M184" s="51" t="str">
        <x:v>Individual quarterly filings support the working model</x:v>
      </x:c>
      <x:c r="N184" s="51" t="str">
        <x:v>Individual quarterly filings support the working model</x:v>
      </x:c>
      <x:c r="O184" s="51" t="str">
        <x:v>Individual quarterly filings support the working model</x:v>
      </x:c>
      <x:c r="P184" s="51" t="str">
        <x:v>Individual quarterly filings support the working model</x:v>
      </x:c>
      <x:c r="Q184" s="51" t="str">
        <x:v>Individual quarterly filings support the working model</x:v>
      </x:c>
      <x:c r="R184" s="51" t="str">
        <x:v>Individual quarterly filings support the working model</x:v>
      </x:c>
    </x:row>
    <x:row r="185" ht="30" customHeight="1">
      <x:c r="A185" s="51" t="str">
        <x:v>Zeta Global Form 10-Q</x:v>
      </x:c>
      <x:c r="B185" s="51" t="str">
        <x:v>Zeta Global Form 10-Q</x:v>
      </x:c>
      <x:c r="C185" s="51" t="str">
        <x:v>Q2 FY2026</x:v>
      </x:c>
      <x:c r="D185" s="51" t="str">
        <x:v>Q2 FY2026</x:v>
      </x:c>
      <x:c r="E185" s="51" t="str">
        <x:v>H1 financials, awards, debt and acquisitions</x:v>
      </x:c>
      <x:c r="F185" s="51" t="str">
        <x:v>H1 financials, awards, debt and acquisitions</x:v>
      </x:c>
      <x:c r="G185" s="51" t="str">
        <x:v>H1 financials, awards, debt and acquisitions</x:v>
      </x:c>
      <x:c r="H185" s="51" t="str">
        <x:v>https://www.sec.gov/Archives/edgar/data/1851003/000119312526333902/zeta-20260630.htm</x:v>
      </x:c>
      <x:c r="I185" s="51" t="str">
        <x:v>https://www.sec.gov/Archives/edgar/data/1851003/000119312526333902/zeta-20260630.htm</x:v>
      </x:c>
      <x:c r="J185" s="51" t="str">
        <x:v>https://www.sec.gov/Archives/edgar/data/1851003/000119312526333902/zeta-20260630.htm</x:v>
      </x:c>
      <x:c r="K185" s="51" t="str">
        <x:v>Filed</x:v>
      </x:c>
      <x:c r="L185" s="51" t="str">
        <x:v>Filed</x:v>
      </x:c>
      <x:c r="M185" s="51" t="str">
        <x:v>Latest reported period</x:v>
      </x:c>
      <x:c r="N185" s="51" t="str">
        <x:v>Latest reported period</x:v>
      </x:c>
      <x:c r="O185" s="51" t="str">
        <x:v>Latest reported period</x:v>
      </x:c>
      <x:c r="P185" s="51" t="str">
        <x:v>Latest reported period</x:v>
      </x:c>
      <x:c r="Q185" s="51" t="str">
        <x:v>Latest reported period</x:v>
      </x:c>
      <x:c r="R185" s="51" t="str">
        <x:v>Latest reported period</x:v>
      </x:c>
    </x:row>
    <x:row r="186" ht="30" customHeight="1">
      <x:c r="A186" s="51" t="str">
        <x:v>Q2 FY2026 earnings supplemental</x:v>
      </x:c>
      <x:c r="B186" s="51" t="str">
        <x:v>Q2 FY2026 earnings supplemental</x:v>
      </x:c>
      <x:c r="C186" s="51" t="str">
        <x:v>Q2 FY2026</x:v>
      </x:c>
      <x:c r="D186" s="51" t="str">
        <x:v>Q2 FY2026</x:v>
      </x:c>
      <x:c r="E186" s="51" t="str">
        <x:v>Guidance, KPIs and adjusted EBITDA bridge</x:v>
      </x:c>
      <x:c r="F186" s="51" t="str">
        <x:v>Guidance, KPIs and adjusted EBITDA bridge</x:v>
      </x:c>
      <x:c r="G186" s="51" t="str">
        <x:v>Guidance, KPIs and adjusted EBITDA bridge</x:v>
      </x:c>
      <x:c r="H186" s="51" t="str">
        <x:v>https://s202.q4cdn.com/623583957/files/doc_financials/2026/q2/v2/2Q-26-Earnings-Supplemental_Final-1.pdf</x:v>
      </x:c>
      <x:c r="I186" s="51" t="str">
        <x:v>https://s202.q4cdn.com/623583957/files/doc_financials/2026/q2/v2/2Q-26-Earnings-Supplemental_Final-1.pdf</x:v>
      </x:c>
      <x:c r="J186" s="51" t="str">
        <x:v>https://s202.q4cdn.com/623583957/files/doc_financials/2026/q2/v2/2Q-26-Earnings-Supplemental_Final-1.pdf</x:v>
      </x:c>
      <x:c r="K186" s="51" t="str">
        <x:v>Management</x:v>
      </x:c>
      <x:c r="L186" s="51" t="str">
        <x:v>Management</x:v>
      </x:c>
      <x:c r="M186" s="51" t="str">
        <x:v>Used alongside, not instead of, GAAP results</x:v>
      </x:c>
      <x:c r="N186" s="51" t="str">
        <x:v>Used alongside, not instead of, GAAP results</x:v>
      </x:c>
      <x:c r="O186" s="51" t="str">
        <x:v>Used alongside, not instead of, GAAP results</x:v>
      </x:c>
      <x:c r="P186" s="51" t="str">
        <x:v>Used alongside, not instead of, GAAP results</x:v>
      </x:c>
      <x:c r="Q186" s="51" t="str">
        <x:v>Used alongside, not instead of, GAAP results</x:v>
      </x:c>
      <x:c r="R186" s="51" t="str">
        <x:v>Used alongside, not instead of, GAAP results</x:v>
      </x:c>
    </x:row>
    <x:row r="187" ht="30" customHeight="1">
      <x:c r="A187" s="51" t="str">
        <x:v>Marigold audited carve-out financials</x:v>
      </x:c>
      <x:c r="B187" s="51" t="str">
        <x:v>Marigold audited carve-out financials</x:v>
      </x:c>
      <x:c r="C187" s="51" t="str">
        <x:v>Pre-close</x:v>
      </x:c>
      <x:c r="D187" s="51" t="str">
        <x:v>Pre-close</x:v>
      </x:c>
      <x:c r="E187" s="51" t="str">
        <x:v>Acquired-business profile</x:v>
      </x:c>
      <x:c r="F187" s="51" t="str">
        <x:v>Acquired-business profile</x:v>
      </x:c>
      <x:c r="G187" s="51" t="str">
        <x:v>Acquired-business profile</x:v>
      </x:c>
      <x:c r="H187" s="51" t="str">
        <x:v>https://www.sec.gov/Archives/edgar/data/1851003/000119312526041153/zeta-ex99_1.htm</x:v>
      </x:c>
      <x:c r="I187" s="51" t="str">
        <x:v>https://www.sec.gov/Archives/edgar/data/1851003/000119312526041153/zeta-ex99_1.htm</x:v>
      </x:c>
      <x:c r="J187" s="51" t="str">
        <x:v>https://www.sec.gov/Archives/edgar/data/1851003/000119312526041153/zeta-ex99_1.htm</x:v>
      </x:c>
      <x:c r="K187" s="51" t="str">
        <x:v>Filed exhibit</x:v>
      </x:c>
      <x:c r="L187" s="51" t="str">
        <x:v>Filed exhibit</x:v>
      </x:c>
      <x:c r="M187" s="51" t="str">
        <x:v>Supports acquisition analysis</x:v>
      </x:c>
      <x:c r="N187" s="51" t="str">
        <x:v>Supports acquisition analysis</x:v>
      </x:c>
      <x:c r="O187" s="51" t="str">
        <x:v>Supports acquisition analysis</x:v>
      </x:c>
      <x:c r="P187" s="51" t="str">
        <x:v>Supports acquisition analysis</x:v>
      </x:c>
      <x:c r="Q187" s="51" t="str">
        <x:v>Supports acquisition analysis</x:v>
      </x:c>
      <x:c r="R187" s="51" t="str">
        <x:v>Supports acquisition analysis</x:v>
      </x:c>
    </x:row>
    <x:row r="188" ht="30" customHeight="1">
      <x:c r="A188" s="51" t="str">
        <x:v>Marigold pro forma financial information</x:v>
      </x:c>
      <x:c r="B188" s="51" t="str">
        <x:v>Marigold pro forma financial information</x:v>
      </x:c>
      <x:c r="C188" s="51" t="str">
        <x:v>Acquisition</x:v>
      </x:c>
      <x:c r="D188" s="51" t="str">
        <x:v>Acquisition</x:v>
      </x:c>
      <x:c r="E188" s="51" t="str">
        <x:v>Combined perimeter</x:v>
      </x:c>
      <x:c r="F188" s="51" t="str">
        <x:v>Combined perimeter</x:v>
      </x:c>
      <x:c r="G188" s="51" t="str">
        <x:v>Combined perimeter</x:v>
      </x:c>
      <x:c r="H188" s="51" t="str">
        <x:v>https://www.sec.gov/Archives/edgar/data/1851003/000119312526041153/zeta-ex99_3.htm</x:v>
      </x:c>
      <x:c r="I188" s="51" t="str">
        <x:v>https://www.sec.gov/Archives/edgar/data/1851003/000119312526041153/zeta-ex99_3.htm</x:v>
      </x:c>
      <x:c r="J188" s="51" t="str">
        <x:v>https://www.sec.gov/Archives/edgar/data/1851003/000119312526041153/zeta-ex99_3.htm</x:v>
      </x:c>
      <x:c r="K188" s="51" t="str">
        <x:v>Filed exhibit</x:v>
      </x:c>
      <x:c r="L188" s="51" t="str">
        <x:v>Filed exhibit</x:v>
      </x:c>
      <x:c r="M188" s="51" t="str">
        <x:v>Supports purchase-accounting analysis</x:v>
      </x:c>
      <x:c r="N188" s="51" t="str">
        <x:v>Supports purchase-accounting analysis</x:v>
      </x:c>
      <x:c r="O188" s="51" t="str">
        <x:v>Supports purchase-accounting analysis</x:v>
      </x:c>
      <x:c r="P188" s="51" t="str">
        <x:v>Supports purchase-accounting analysis</x:v>
      </x:c>
      <x:c r="Q188" s="51" t="str">
        <x:v>Supports purchase-accounting analysis</x:v>
      </x:c>
      <x:c r="R188" s="51" t="str">
        <x:v>Supports purchase-accounting analysis</x:v>
      </x:c>
    </x:row>
    <x:row r="189" ht="30" customHeight="1">
      <x:c r="A189" s="51" t="str">
        <x:v>IAB / PwC internet advertising report</x:v>
      </x:c>
      <x:c r="B189" s="51" t="str">
        <x:v>IAB / PwC internet advertising report</x:v>
      </x:c>
      <x:c r="C189" s="51" t="str">
        <x:v>FY2025</x:v>
      </x:c>
      <x:c r="D189" s="51" t="str">
        <x:v>FY2025</x:v>
      </x:c>
      <x:c r="E189" s="51" t="str">
        <x:v>Industry context</x:v>
      </x:c>
      <x:c r="F189" s="51" t="str">
        <x:v>Industry context</x:v>
      </x:c>
      <x:c r="G189" s="51" t="str">
        <x:v>Industry context</x:v>
      </x:c>
      <x:c r="H189" s="51" t="str">
        <x:v>https://www.iab.com/wp-content/uploads/2026/04/IAB_PwC_Internet_Ad_Revenue_Report_Full_Year_2025_April_2026.pdf</x:v>
      </x:c>
      <x:c r="I189" s="51" t="str">
        <x:v>https://www.iab.com/wp-content/uploads/2026/04/IAB_PwC_Internet_Ad_Revenue_Report_Full_Year_2025_April_2026.pdf</x:v>
      </x:c>
      <x:c r="J189" s="51" t="str">
        <x:v>https://www.iab.com/wp-content/uploads/2026/04/IAB_PwC_Internet_Ad_Revenue_Report_Full_Year_2025_April_2026.pdf</x:v>
      </x:c>
      <x:c r="K189" s="51" t="str">
        <x:v>Industry research</x:v>
      </x:c>
      <x:c r="L189" s="51" t="str">
        <x:v>Industry research</x:v>
      </x:c>
      <x:c r="M189" s="51" t="str">
        <x:v>Context only</x:v>
      </x:c>
      <x:c r="N189" s="51" t="str">
        <x:v>Context only</x:v>
      </x:c>
      <x:c r="O189" s="51" t="str">
        <x:v>Context only</x:v>
      </x:c>
      <x:c r="P189" s="51" t="str">
        <x:v>Context only</x:v>
      </x:c>
      <x:c r="Q189" s="51" t="str">
        <x:v>Context only</x:v>
      </x:c>
      <x:c r="R189" s="51" t="str">
        <x:v>Context only</x:v>
      </x:c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</x:row>
    <x:row r="192" ht="20" customHeight="1">
      <x:c r="A192" s="11" t="str">
        <x:v>Definitions</x:v>
      </x:c>
      <x:c r="B192" s="11" t="str">
        <x:v>Definitions</x:v>
      </x:c>
      <x:c r="C192" s="11" t="str">
        <x:v>Definitions</x:v>
      </x:c>
      <x:c r="D192" s="11" t="str">
        <x:v>Definitions</x:v>
      </x:c>
      <x:c r="E192" s="11" t="str">
        <x:v>Definitions</x:v>
      </x:c>
      <x:c r="F192" s="11" t="str">
        <x:v>Definitions</x:v>
      </x:c>
      <x:c r="G192" s="11" t="str">
        <x:v>Definitions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</x:row>
    <x:row r="193">
      <x:c r="A193" s="16" t="str">
        <x:v>Term</x:v>
      </x:c>
      <x:c r="B193" s="16" t="str">
        <x:v>Definition</x:v>
      </x:c>
      <x:c r="C193" s="16" t="str">
        <x:v>Use</x:v>
      </x:c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</x:row>
    <x:row r="194">
      <x:c r="A194" s="17" t="str">
        <x:v>Incremental gross margin</x:v>
      </x:c>
      <x:c r="B194" s="17" t="str">
        <x:v>Change in gross profit divided by change in revenue</x:v>
      </x:c>
      <x:c r="C194" s="17" t="str">
        <x:v>Gross profit carried by added revenue</x:v>
      </x:c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</x:row>
    <x:row r="195">
      <x:c r="A195" s="17" t="str">
        <x:v>Incremental S&amp;M cost ratio</x:v>
      </x:c>
      <x:c r="B195" s="17" t="str">
        <x:v>Change in S&amp;M divided by change in revenue</x:v>
      </x:c>
      <x:c r="C195" s="17" t="str">
        <x:v>Commercial cost of supporting added revenue</x:v>
      </x:c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</x:row>
    <x:row r="196">
      <x:c r="A196" s="17" t="str">
        <x:v>Analyst-adjusted EBIT</x:v>
      </x:c>
      <x:c r="B196" s="17" t="str">
        <x:v>Forecast GAAP EBIT plus approved acquisition-accounting adjustments</x:v>
      </x:c>
      <x:c r="C196" s="17" t="str">
        <x:v>Comparison metric; FCFF starts from GAAP EBIT</x:v>
      </x:c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</x:row>
    <x:row r="197">
      <x:c r="A197" s="17" t="str">
        <x:v>Operating fixed investment</x:v>
      </x:c>
      <x:c r="B197" s="17" t="str">
        <x:v>Cash spent on equipment, data and capitalised software</x:v>
      </x:c>
      <x:c r="C197" s="17" t="str">
        <x:v>Deducted in FCFF</x:v>
      </x:c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</x:row>
    <x:row r="198">
      <x:c r="A198" s="17" t="str">
        <x:v>Investment in working capital</x:v>
      </x:c>
      <x:c r="B198" s="17" t="str">
        <x:v>Increase in operating working capital</x:v>
      </x:c>
      <x:c r="C198" s="17" t="str">
        <x:v>Deducted in FCFF</x:v>
      </x:c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</x:row>
    <x:row r="199">
      <x:c r="A199" s="17" t="str">
        <x:v>FCFF</x:v>
      </x:c>
      <x:c r="B199" s="17" t="str">
        <x:v>NOPAT plus D&amp;A less operating fixed investment and working-capital investment</x:v>
      </x:c>
      <x:c r="C199" s="17" t="str">
        <x:v>Cash flow available to all capital providers</x:v>
      </x:c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</x:row>
    <x:row r="200">
      <x:c r="A200" s="17" t="str">
        <x:v>Valuation-date claims</x:v>
      </x:c>
      <x:c r="B200" s="17" t="str">
        <x:v>Legal shares plus already-earned or exercisable dilution</x:v>
      </x:c>
      <x:c r="C200" s="17" t="str">
        <x:v>Per-share denominator; future SBC remains in FCFF</x:v>
      </x:c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</x:row>
    <x:row r="203" ht="20" customHeight="1">
      <x:c r="A203" s="11" t="str">
        <x:v>Workbook checks</x:v>
      </x:c>
      <x:c r="B203" s="11" t="str">
        <x:v>Workbook checks</x:v>
      </x:c>
      <x:c r="C203" s="11" t="str">
        <x:v>Workbook checks</x:v>
      </x:c>
      <x:c r="D203" s="11" t="str">
        <x:v>Workbook checks</x:v>
      </x:c>
      <x:c r="E203" s="11" t="str">
        <x:v>Workbook checks</x:v>
      </x:c>
      <x:c r="F203" s="11" t="str">
        <x:v>Workbook checks</x:v>
      </x:c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</x:row>
    <x:row r="204">
      <x:c r="A204" s="16" t="str">
        <x:v>Check</x:v>
      </x:c>
      <x:c r="B204" s="16" t="str">
        <x:v>Formula</x:v>
      </x:c>
      <x:c r="C204" s="16" t="str">
        <x:v>Result</x:v>
      </x:c>
      <x:c r="D204" s="16" t="str">
        <x:v>Status</x:v>
      </x:c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</x:row>
    <x:row r="205">
      <x:c r="A205" s="17" t="str">
        <x:v>Scenario probabilities</x:v>
      </x:c>
      <x:c r="B205" s="17" t="str">
        <x:v>Sum of probabilities</x:v>
      </x:c>
      <x:c r="C205" s="32" t="n">
        <x:f>SUM(C97:E97)</x:f>
        <x:v>1</x:v>
      </x:c>
      <x:c r="D205" s="53" t="str">
        <x:f>IF(ABS(C205-1)&lt;0.001,"PASS","CHECK")</x:f>
        <x:v>PASS</x:v>
      </x:c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</x:row>
    <x:row r="206">
      <x:c r="A206" s="17" t="str">
        <x:v>Probability-weighted target</x:v>
      </x:c>
      <x:c r="B206" s="17" t="str">
        <x:v>Sum of weighted scenario values</x:v>
      </x:c>
      <x:c r="C206" s="33" t="n">
        <x:f>'Valuation Model'!C10-SUM('Valuation Model'!E7:E9)</x:f>
        <x:v>0</x:v>
      </x:c>
      <x:c r="D206" s="53" t="str">
        <x:f>IF(ABS(C206)&lt;0.001,"PASS","CHECK")</x:f>
        <x:v>PASS</x:v>
      </x:c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</x:row>
    <x:row r="207">
      <x:c r="A207" s="17" t="str">
        <x:v>Forecast link</x:v>
      </x:c>
      <x:c r="B207" s="17" t="str">
        <x:v>FY2030 revenue in Operating Drivers equals Forecast</x:v>
      </x:c>
      <x:c r="C207" s="33" t="n">
        <x:f>'Operating Drivers'!L7-Forecast!L7</x:f>
        <x:v>0</x:v>
      </x:c>
      <x:c r="D207" s="53" t="str">
        <x:f>IF(ABS(C207)&lt;0.001,"PASS","CHECK")</x:f>
        <x:v>PASS</x:v>
      </x:c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</x:row>
    <x:row r="208">
      <x:c r="A208" s="17" t="str">
        <x:v>Current DCF tie</x:v>
      </x:c>
      <x:c r="B208" s="17" t="str">
        <x:v>Publication values versus Stage 06 controls</x:v>
      </x:c>
      <x:c r="C208" s="33" t="n">
        <x:f>MAX(ABS('Valuation Model'!B7-C115),ABS('Valuation Model'!B8-D115),ABS('Valuation Model'!B9-E115))</x:f>
        <x:v>0</x:v>
      </x:c>
      <x:c r="D208" s="53" t="str">
        <x:f>IF(ABS(C208)&lt;0.001,"PASS","CHECK")</x:f>
        <x:v>PASS</x:v>
      </x:c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</x:row>
    <x:row r="209">
      <x:c r="A209" s="17" t="str">
        <x:v>Target DCF tie</x:v>
      </x:c>
      <x:c r="B209" s="17" t="str">
        <x:v>Publication values versus Stage 07 controls</x:v>
      </x:c>
      <x:c r="C209" s="33" t="n">
        <x:f>MAX(ABS('Valuation Model'!C7-C116),ABS('Valuation Model'!C8-D116),ABS('Valuation Model'!C9-E116))</x:f>
        <x:v>7.105427357601002e-15</x:v>
      </x:c>
      <x:c r="D209" s="53" t="str">
        <x:f>IF(ABS(C209)&lt;0.001,"PASS","CHECK")</x:f>
        <x:v>PASS</x:v>
      </x:c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</x:row>
    <x:row r="210">
      <x:c r="A210" s="17" t="str">
        <x:v>WACC exceeds growth</x:v>
      </x:c>
      <x:c r="B210" s="17" t="str">
        <x:v>Selected WACC less maximum perpetual growth</x:v>
      </x:c>
      <x:c r="C210" s="32" t="n">
        <x:f>'Valuation Model'!I16-MAX(C99:E99)</x:f>
        <x:v>0.075</x:v>
      </x:c>
      <x:c r="D210" s="53" t="str">
        <x:f>IF(C210&gt;0,"PASS","CHECK")</x:f>
        <x:v>PASS</x:v>
      </x:c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</x:row>
    <x:row r="211">
      <x:c r="A211" s="17" t="str">
        <x:v>Sensitivity grid tie-out</x:v>
      </x:c>
      <x:c r="B211" s="17" t="str">
        <x:v>Base cell in WACC / growth grid less standalone Base valuation</x:v>
      </x:c>
      <x:c r="C211" s="33" t="n">
        <x:f>'Valuation Model'!D152-'Valuation Model'!D34</x:f>
        <x:v>0</x:v>
      </x:c>
      <x:c r="D211" s="53" t="str">
        <x:f>IF(ABS(C211)&lt;0.001,"PASS","CHECK")</x:f>
        <x:v>PASS</x:v>
      </x:c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</x:row>
    <x:row r="212">
      <x:c r="A212" s="17" t="str">
        <x:v>Operating sensitivity tie</x:v>
      </x:c>
      <x:c r="B212" s="17" t="str">
        <x:v>Base grid cell equals FY2030 Base EBIT margin</x:v>
      </x:c>
      <x:c r="C212" s="95" t="n">
        <x:f>'Operating Drivers'!D33-Forecast!L25</x:f>
        <x:v>0</x:v>
      </x:c>
      <x:c r="D212" s="53" t="str">
        <x:f>IF(ABS(C212)&lt;0.001,"PASS","CHECK")</x:f>
        <x:v>PASS</x:v>
      </x:c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</x:row>
    <x:row r="213">
      <x:c r="A213" s="17" t="str">
        <x:v>Formula-driven Forecast</x:v>
      </x:c>
      <x:c r="B213" s="17" t="str">
        <x:v>Forecast result area contains formulas</x:v>
      </x:c>
      <x:c r="C213" s="17" t="str">
        <x:v>See Forecast</x:v>
      </x:c>
      <x:c r="D213" s="53" t="str">
        <x:v>PASS</x:v>
      </x:c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</x:row>
    <x:row r="214">
      <x:c r="A214" s="17" t="str">
        <x:v>Formula-driven DCF</x:v>
      </x:c>
      <x:c r="B214" s="17" t="str">
        <x:v>Transition periods use copied formulas</x:v>
      </x:c>
      <x:c r="C214" s="17" t="str">
        <x:v>See Valuation Model</x:v>
      </x:c>
      <x:c r="D214" s="53" t="str">
        <x:v>PASS</x:v>
      </x:c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</x:row>
  </x:sheetData>
  <x:mergeCells>
    <x:mergeCell ref="A1:R2"/>
    <x:mergeCell ref="A3:R3"/>
    <x:mergeCell ref="A5:F5"/>
    <x:mergeCell ref="A14:J14"/>
    <x:mergeCell ref="A39:I39"/>
    <x:mergeCell ref="A58:I58"/>
    <x:mergeCell ref="A60:I60"/>
    <x:mergeCell ref="A66:I66"/>
    <x:mergeCell ref="A77:I77"/>
    <x:mergeCell ref="L59:R59"/>
    <x:mergeCell ref="O67:R67"/>
    <x:mergeCell ref="A95:G95"/>
    <x:mergeCell ref="I95:M95"/>
    <x:mergeCell ref="A121:H121"/>
    <x:mergeCell ref="A122:H122"/>
    <x:mergeCell ref="A137:H137"/>
    <x:mergeCell ref="A152:H152"/>
    <x:mergeCell ref="A167:N167"/>
    <x:mergeCell ref="A178:R178"/>
    <x:mergeCell ref="A179:B179"/>
    <x:mergeCell ref="C179:D179"/>
    <x:mergeCell ref="E179:G179"/>
    <x:mergeCell ref="H179:J179"/>
    <x:mergeCell ref="K179:L179"/>
    <x:mergeCell ref="M179:R179"/>
    <x:mergeCell ref="A180:B180"/>
    <x:mergeCell ref="C180:D180"/>
    <x:mergeCell ref="E180:G180"/>
    <x:mergeCell ref="H180:J180"/>
    <x:mergeCell ref="K180:L180"/>
    <x:mergeCell ref="M180:R180"/>
    <x:mergeCell ref="A181:B181"/>
    <x:mergeCell ref="C181:D181"/>
    <x:mergeCell ref="E181:G181"/>
    <x:mergeCell ref="H181:J181"/>
    <x:mergeCell ref="K181:L181"/>
    <x:mergeCell ref="M181:R181"/>
    <x:mergeCell ref="A182:B182"/>
    <x:mergeCell ref="C182:D182"/>
    <x:mergeCell ref="E182:G182"/>
    <x:mergeCell ref="H182:J182"/>
    <x:mergeCell ref="K182:L182"/>
    <x:mergeCell ref="M182:R182"/>
    <x:mergeCell ref="A183:B183"/>
    <x:mergeCell ref="C183:D183"/>
    <x:mergeCell ref="E183:G183"/>
    <x:mergeCell ref="H183:J183"/>
    <x:mergeCell ref="K183:L183"/>
    <x:mergeCell ref="M183:R183"/>
    <x:mergeCell ref="A184:B184"/>
    <x:mergeCell ref="C184:D184"/>
    <x:mergeCell ref="E184:G184"/>
    <x:mergeCell ref="H184:J184"/>
    <x:mergeCell ref="K184:L184"/>
    <x:mergeCell ref="M184:R184"/>
    <x:mergeCell ref="A185:B185"/>
    <x:mergeCell ref="C185:D185"/>
    <x:mergeCell ref="E185:G185"/>
    <x:mergeCell ref="H185:J185"/>
    <x:mergeCell ref="K185:L185"/>
    <x:mergeCell ref="M185:R185"/>
    <x:mergeCell ref="A186:B186"/>
    <x:mergeCell ref="C186:D186"/>
    <x:mergeCell ref="E186:G186"/>
    <x:mergeCell ref="H186:J186"/>
    <x:mergeCell ref="K186:L186"/>
    <x:mergeCell ref="M186:R186"/>
    <x:mergeCell ref="A187:B187"/>
    <x:mergeCell ref="C187:D187"/>
    <x:mergeCell ref="E187:G187"/>
    <x:mergeCell ref="H187:J187"/>
    <x:mergeCell ref="K187:L187"/>
    <x:mergeCell ref="M187:R187"/>
    <x:mergeCell ref="A188:B188"/>
    <x:mergeCell ref="C188:D188"/>
    <x:mergeCell ref="E188:G188"/>
    <x:mergeCell ref="H188:J188"/>
    <x:mergeCell ref="K188:L188"/>
    <x:mergeCell ref="M188:R188"/>
    <x:mergeCell ref="A189:B189"/>
    <x:mergeCell ref="C189:D189"/>
    <x:mergeCell ref="E189:G189"/>
    <x:mergeCell ref="H189:J189"/>
    <x:mergeCell ref="K189:L189"/>
    <x:mergeCell ref="M189:R189"/>
    <x:mergeCell ref="A192:G192"/>
    <x:mergeCell ref="A203:F203"/>
  </x:mergeCells>
  <x:pageMargins left="0.7" right="0.7" top="0.75" bottom="0.75" header="0.3" footer="0.3"/>
</x:worksheet>
</file>